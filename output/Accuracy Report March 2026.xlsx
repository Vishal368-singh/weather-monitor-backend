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FOR DATA SHARING - Z.127\VISHAL\IndusWeather\"/>
    </mc:Choice>
  </mc:AlternateContent>
  <bookViews>
    <workbookView xWindow="0" yWindow="0" windowWidth="20490" windowHeight="7155"/>
  </bookViews>
  <sheets>
    <sheet name="Accuracy Assessment - Mar 2026" sheetId="2" r:id="rId1"/>
  </sheets>
  <calcPr calcId="152511"/>
</workbook>
</file>

<file path=xl/calcChain.xml><?xml version="1.0" encoding="utf-8"?>
<calcChain xmlns="http://schemas.openxmlformats.org/spreadsheetml/2006/main">
  <c r="S30" i="2" l="1"/>
  <c r="S31" i="2" s="1"/>
  <c r="S29" i="2"/>
  <c r="S28" i="2"/>
</calcChain>
</file>

<file path=xl/sharedStrings.xml><?xml version="1.0" encoding="utf-8"?>
<sst xmlns="http://schemas.openxmlformats.org/spreadsheetml/2006/main" count="178" uniqueCount="37">
  <si>
    <t>Date</t>
  </si>
  <si>
    <t>T_Max_Obs</t>
  </si>
  <si>
    <t>T_Min_Obs</t>
  </si>
  <si>
    <t>H_Avg_Obs</t>
  </si>
  <si>
    <t>Win_M_Obs</t>
  </si>
  <si>
    <t>Rain_T_Obs</t>
  </si>
  <si>
    <t>V_Avg_Obs</t>
  </si>
  <si>
    <t>District</t>
  </si>
  <si>
    <t>T_Max_Fst</t>
  </si>
  <si>
    <t>T_Min_Fst</t>
  </si>
  <si>
    <t>H_Avg_Fst</t>
  </si>
  <si>
    <t>Win_M_Fst</t>
  </si>
  <si>
    <t>Rain_T_Fst</t>
  </si>
  <si>
    <t>V_Avg_Fst</t>
  </si>
  <si>
    <t>Andhra Pradesh</t>
  </si>
  <si>
    <t>Forecast Accuracy</t>
  </si>
  <si>
    <t>Maximum Temperature</t>
  </si>
  <si>
    <t>T_Max</t>
  </si>
  <si>
    <t>Mean Absolute Error (MAE)</t>
  </si>
  <si>
    <t>Root Mean Square Error (RMSE)</t>
  </si>
  <si>
    <t>Mean Absolute % Error (MAPE)</t>
  </si>
  <si>
    <t>Accuracy %</t>
  </si>
  <si>
    <t>Minimum Temperature</t>
  </si>
  <si>
    <t>T_Min</t>
  </si>
  <si>
    <t>Average Relative Humidity</t>
  </si>
  <si>
    <t>H_Avg</t>
  </si>
  <si>
    <t>Wind Speed</t>
  </si>
  <si>
    <t>Win_M</t>
  </si>
  <si>
    <t>Rainfall</t>
  </si>
  <si>
    <t>Rain_T</t>
  </si>
  <si>
    <t>Visibility/Fog</t>
  </si>
  <si>
    <t>V_Avg</t>
  </si>
  <si>
    <t>Average Accuracy</t>
  </si>
  <si>
    <t>Nagaur</t>
  </si>
  <si>
    <t>Visakhapatanam</t>
  </si>
  <si>
    <t>Rajasthan</t>
  </si>
  <si>
    <t xml:space="preserve">Circle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</si>
</sst>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6" fillId="35" borderId="14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16" fillId="35" borderId="15" xfId="0" applyFont="1" applyFill="1" applyBorder="1" applyAlignment="1">
      <alignment horizontal="center" vertical="center"/>
    </xf>
    <xf numFmtId="0" fontId="0" fillId="36" borderId="12" xfId="0" applyFill="1" applyBorder="1"/>
    <xf numFmtId="0" fontId="0" fillId="0" borderId="12" xfId="0" applyBorder="1"/>
    <xf numFmtId="164" fontId="0" fillId="0" borderId="12" xfId="0" applyNumberFormat="1" applyBorder="1"/>
    <xf numFmtId="164" fontId="0" fillId="0" borderId="16" xfId="0" applyNumberFormat="1" applyBorder="1"/>
    <xf numFmtId="164" fontId="0" fillId="0" borderId="21" xfId="0" applyNumberFormat="1" applyBorder="1"/>
    <xf numFmtId="164" fontId="0" fillId="0" borderId="11" xfId="0" applyNumberFormat="1" applyBorder="1"/>
    <xf numFmtId="164" fontId="0" fillId="0" borderId="23" xfId="0" applyNumberFormat="1" applyBorder="1"/>
    <xf numFmtId="164" fontId="19" fillId="0" borderId="12" xfId="0" applyNumberFormat="1" applyFont="1" applyBorder="1"/>
    <xf numFmtId="164" fontId="0" fillId="0" borderId="28" xfId="0" applyNumberFormat="1" applyBorder="1"/>
    <xf numFmtId="164" fontId="0" fillId="0" borderId="15" xfId="0" applyNumberFormat="1" applyBorder="1"/>
    <xf numFmtId="164" fontId="0" fillId="0" borderId="29" xfId="0" applyNumberFormat="1" applyBorder="1"/>
    <xf numFmtId="164" fontId="19" fillId="0" borderId="30" xfId="0" applyNumberFormat="1" applyFont="1" applyBorder="1"/>
    <xf numFmtId="164" fontId="0" fillId="0" borderId="0" xfId="0" applyNumberFormat="1"/>
    <xf numFmtId="164" fontId="20" fillId="0" borderId="12" xfId="0" applyNumberFormat="1" applyFont="1" applyBorder="1"/>
    <xf numFmtId="0" fontId="16" fillId="33" borderId="31" xfId="0" applyFont="1" applyFill="1" applyBorder="1" applyAlignment="1">
      <alignment horizontal="center" vertical="center"/>
    </xf>
    <xf numFmtId="14" fontId="0" fillId="0" borderId="13" xfId="0" applyNumberFormat="1" applyBorder="1"/>
    <xf numFmtId="0" fontId="16" fillId="34" borderId="14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  <xf numFmtId="0" fontId="0" fillId="0" borderId="32" xfId="0" applyBorder="1"/>
    <xf numFmtId="0" fontId="0" fillId="0" borderId="29" xfId="0" applyBorder="1"/>
    <xf numFmtId="0" fontId="0" fillId="0" borderId="33" xfId="0" applyBorder="1"/>
    <xf numFmtId="0" fontId="0" fillId="0" borderId="34" xfId="0" applyBorder="1"/>
    <xf numFmtId="0" fontId="0" fillId="0" borderId="30" xfId="0" applyBorder="1"/>
    <xf numFmtId="164" fontId="16" fillId="38" borderId="24" xfId="0" applyNumberFormat="1" applyFont="1" applyFill="1" applyBorder="1" applyAlignment="1">
      <alignment horizontal="left"/>
    </xf>
    <xf numFmtId="164" fontId="16" fillId="38" borderId="25" xfId="0" applyNumberFormat="1" applyFont="1" applyFill="1" applyBorder="1" applyAlignment="1">
      <alignment horizontal="left"/>
    </xf>
    <xf numFmtId="164" fontId="16" fillId="38" borderId="26" xfId="0" applyNumberFormat="1" applyFont="1" applyFill="1" applyBorder="1" applyAlignment="1">
      <alignment horizontal="left"/>
    </xf>
    <xf numFmtId="0" fontId="18" fillId="37" borderId="12" xfId="0" applyFont="1" applyFill="1" applyBorder="1" applyAlignment="1">
      <alignment horizontal="center"/>
    </xf>
    <xf numFmtId="0" fontId="16" fillId="38" borderId="17" xfId="0" applyFont="1" applyFill="1" applyBorder="1" applyAlignment="1">
      <alignment horizontal="left"/>
    </xf>
    <xf numFmtId="0" fontId="16" fillId="38" borderId="18" xfId="0" applyFont="1" applyFill="1" applyBorder="1" applyAlignment="1">
      <alignment horizontal="left"/>
    </xf>
    <xf numFmtId="0" fontId="16" fillId="38" borderId="19" xfId="0" applyFont="1" applyFill="1" applyBorder="1" applyAlignment="1">
      <alignment horizontal="left"/>
    </xf>
    <xf numFmtId="164" fontId="0" fillId="0" borderId="2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16" fillId="38" borderId="19" xfId="0" applyNumberFormat="1" applyFont="1" applyFill="1" applyBorder="1" applyAlignment="1">
      <alignment horizontal="left"/>
    </xf>
    <xf numFmtId="164" fontId="0" fillId="0" borderId="27" xfId="0" applyNumberFormat="1" applyBorder="1" applyAlignment="1">
      <alignment horizontal="center" vertical="center"/>
    </xf>
    <xf numFmtId="164" fontId="20" fillId="0" borderId="12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tabSelected="1" topLeftCell="A40" workbookViewId="0"/>
  </sheetViews>
  <sheetFormatPr defaultRowHeight="15" x14ac:dyDescent="0.25"/>
  <cols>
    <col min="1" max="1" width="20.28515625" bestFit="1" customWidth="1"/>
    <col min="2" max="2" width="15" customWidth="1"/>
    <col min="3" max="3" width="10.42578125" bestFit="1" customWidth="1"/>
    <col min="4" max="4" width="11.28515625" bestFit="1" customWidth="1"/>
    <col min="5" max="6" width="11" bestFit="1" customWidth="1"/>
    <col min="7" max="7" width="12" bestFit="1" customWidth="1"/>
    <col min="8" max="8" width="11.28515625" bestFit="1" customWidth="1"/>
    <col min="9" max="9" width="11" bestFit="1" customWidth="1"/>
    <col min="10" max="10" width="10.42578125" bestFit="1" customWidth="1"/>
    <col min="11" max="12" width="10.140625" bestFit="1" customWidth="1"/>
    <col min="13" max="13" width="11.140625" bestFit="1" customWidth="1"/>
    <col min="14" max="14" width="10.42578125" bestFit="1" customWidth="1"/>
    <col min="15" max="15" width="10.140625" bestFit="1" customWidth="1"/>
    <col min="16" max="16" width="2.85546875" customWidth="1"/>
    <col min="18" max="18" width="29.140625" bestFit="1" customWidth="1"/>
    <col min="19" max="19" width="11.85546875" bestFit="1" customWidth="1"/>
  </cols>
  <sheetData>
    <row r="1" spans="1:19" ht="18.75" x14ac:dyDescent="0.3">
      <c r="A1" s="1" t="s">
        <v>36</v>
      </c>
      <c r="B1" s="1" t="s">
        <v>7</v>
      </c>
      <c r="C1" s="19" t="s">
        <v>0</v>
      </c>
      <c r="D1" s="21" t="s">
        <v>1</v>
      </c>
      <c r="E1" s="22" t="s">
        <v>2</v>
      </c>
      <c r="F1" s="22" t="s">
        <v>3</v>
      </c>
      <c r="G1" s="22" t="s">
        <v>4</v>
      </c>
      <c r="H1" s="22" t="s">
        <v>5</v>
      </c>
      <c r="I1" s="23" t="s">
        <v>6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Q1" s="32" t="s">
        <v>15</v>
      </c>
      <c r="R1" s="32"/>
      <c r="S1" s="32"/>
    </row>
    <row r="2" spans="1:19" ht="15.75" thickBot="1" x14ac:dyDescent="0.3">
      <c r="A2" s="5" t="s">
        <v>35</v>
      </c>
      <c r="B2" s="6" t="s">
        <v>33</v>
      </c>
      <c r="C2" s="20">
        <v>46082</v>
      </c>
      <c r="D2" s="24">
        <v>32.9</v>
      </c>
      <c r="E2" s="6">
        <v>21</v>
      </c>
      <c r="F2" s="6">
        <v>24</v>
      </c>
      <c r="G2" s="6">
        <v>14.4</v>
      </c>
      <c r="H2" s="6">
        <v>0</v>
      </c>
      <c r="I2" s="25">
        <v>10</v>
      </c>
      <c r="J2" s="24">
        <v>33</v>
      </c>
      <c r="K2" s="6">
        <v>21</v>
      </c>
      <c r="L2" s="6">
        <v>24</v>
      </c>
      <c r="M2" s="6">
        <v>14.8</v>
      </c>
      <c r="N2" s="6">
        <v>0</v>
      </c>
      <c r="O2" s="25">
        <v>10</v>
      </c>
      <c r="Q2" s="33" t="s">
        <v>16</v>
      </c>
      <c r="R2" s="34"/>
      <c r="S2" s="35"/>
    </row>
    <row r="3" spans="1:19" x14ac:dyDescent="0.25">
      <c r="A3" s="5" t="s">
        <v>35</v>
      </c>
      <c r="B3" s="6" t="s">
        <v>33</v>
      </c>
      <c r="C3" s="20">
        <v>46083</v>
      </c>
      <c r="D3" s="24">
        <v>33.799999999999997</v>
      </c>
      <c r="E3" s="6">
        <v>21.6</v>
      </c>
      <c r="F3" s="6">
        <v>17</v>
      </c>
      <c r="G3" s="6">
        <v>16.2</v>
      </c>
      <c r="H3" s="6">
        <v>0</v>
      </c>
      <c r="I3" s="25">
        <v>10</v>
      </c>
      <c r="J3" s="24">
        <v>33.700000000000003</v>
      </c>
      <c r="K3" s="6">
        <v>21.6</v>
      </c>
      <c r="L3" s="6">
        <v>16.899999999999999</v>
      </c>
      <c r="M3" s="6">
        <v>15.9</v>
      </c>
      <c r="N3" s="6">
        <v>0</v>
      </c>
      <c r="O3" s="25">
        <v>10</v>
      </c>
      <c r="Q3" s="36" t="s">
        <v>17</v>
      </c>
      <c r="R3" s="8" t="s">
        <v>18</v>
      </c>
      <c r="S3" s="9">
        <v>0.22</v>
      </c>
    </row>
    <row r="4" spans="1:19" x14ac:dyDescent="0.25">
      <c r="A4" s="5" t="s">
        <v>35</v>
      </c>
      <c r="B4" s="6" t="s">
        <v>33</v>
      </c>
      <c r="C4" s="20">
        <v>46084</v>
      </c>
      <c r="D4" s="24">
        <v>35.200000000000003</v>
      </c>
      <c r="E4" s="6">
        <v>21.4</v>
      </c>
      <c r="F4" s="6">
        <v>15</v>
      </c>
      <c r="G4" s="6">
        <v>14.4</v>
      </c>
      <c r="H4" s="6">
        <v>0</v>
      </c>
      <c r="I4" s="25">
        <v>10</v>
      </c>
      <c r="J4" s="24">
        <v>35.200000000000003</v>
      </c>
      <c r="K4" s="6">
        <v>21.2</v>
      </c>
      <c r="L4" s="6">
        <v>15</v>
      </c>
      <c r="M4" s="6">
        <v>14.1</v>
      </c>
      <c r="N4" s="6">
        <v>0</v>
      </c>
      <c r="O4" s="25">
        <v>10</v>
      </c>
      <c r="Q4" s="36"/>
      <c r="R4" s="10" t="s">
        <v>19</v>
      </c>
      <c r="S4" s="7">
        <v>0.30599999999999999</v>
      </c>
    </row>
    <row r="5" spans="1:19" x14ac:dyDescent="0.25">
      <c r="A5" s="5" t="s">
        <v>35</v>
      </c>
      <c r="B5" s="6" t="s">
        <v>33</v>
      </c>
      <c r="C5" s="20">
        <v>46085</v>
      </c>
      <c r="D5" s="24">
        <v>36.1</v>
      </c>
      <c r="E5" s="6">
        <v>22.5</v>
      </c>
      <c r="F5" s="6">
        <v>17</v>
      </c>
      <c r="G5" s="6">
        <v>14</v>
      </c>
      <c r="H5" s="6">
        <v>0</v>
      </c>
      <c r="I5" s="25">
        <v>10</v>
      </c>
      <c r="J5" s="24">
        <v>36.200000000000003</v>
      </c>
      <c r="K5" s="6">
        <v>22.5</v>
      </c>
      <c r="L5" s="6">
        <v>17.100000000000001</v>
      </c>
      <c r="M5" s="6">
        <v>14.3</v>
      </c>
      <c r="N5" s="6">
        <v>0</v>
      </c>
      <c r="O5" s="25">
        <v>10</v>
      </c>
      <c r="Q5" s="36"/>
      <c r="R5" s="10" t="s">
        <v>20</v>
      </c>
      <c r="S5" s="7">
        <v>7.0000000000000001E-3</v>
      </c>
    </row>
    <row r="6" spans="1:19" ht="15.75" thickBot="1" x14ac:dyDescent="0.3">
      <c r="A6" s="5" t="s">
        <v>35</v>
      </c>
      <c r="B6" s="6" t="s">
        <v>33</v>
      </c>
      <c r="C6" s="20">
        <v>46086</v>
      </c>
      <c r="D6" s="24">
        <v>36.700000000000003</v>
      </c>
      <c r="E6" s="6">
        <v>23.4</v>
      </c>
      <c r="F6" s="6">
        <v>16</v>
      </c>
      <c r="G6" s="6">
        <v>18.7</v>
      </c>
      <c r="H6" s="6">
        <v>0</v>
      </c>
      <c r="I6" s="25">
        <v>10</v>
      </c>
      <c r="J6" s="24">
        <v>36.6</v>
      </c>
      <c r="K6" s="6">
        <v>23.4</v>
      </c>
      <c r="L6" s="6">
        <v>15.7</v>
      </c>
      <c r="M6" s="6">
        <v>18.399999999999999</v>
      </c>
      <c r="N6" s="6">
        <v>0</v>
      </c>
      <c r="O6" s="25">
        <v>10</v>
      </c>
      <c r="Q6" s="37"/>
      <c r="R6" s="11" t="s">
        <v>21</v>
      </c>
      <c r="S6" s="12">
        <v>99.298000000000002</v>
      </c>
    </row>
    <row r="7" spans="1:19" ht="15.75" thickBot="1" x14ac:dyDescent="0.3">
      <c r="A7" s="5" t="s">
        <v>35</v>
      </c>
      <c r="B7" s="6" t="s">
        <v>33</v>
      </c>
      <c r="C7" s="20">
        <v>46087</v>
      </c>
      <c r="D7" s="24">
        <v>36.4</v>
      </c>
      <c r="E7" s="6">
        <v>20.6</v>
      </c>
      <c r="F7" s="6">
        <v>14</v>
      </c>
      <c r="G7" s="6">
        <v>17.3</v>
      </c>
      <c r="H7" s="6">
        <v>0</v>
      </c>
      <c r="I7" s="25">
        <v>10</v>
      </c>
      <c r="J7" s="24">
        <v>36.4</v>
      </c>
      <c r="K7" s="6">
        <v>20.6</v>
      </c>
      <c r="L7" s="6">
        <v>14.8</v>
      </c>
      <c r="M7" s="6">
        <v>16.7</v>
      </c>
      <c r="N7" s="6">
        <v>0</v>
      </c>
      <c r="O7" s="25">
        <v>10</v>
      </c>
      <c r="Q7" s="29" t="s">
        <v>22</v>
      </c>
      <c r="R7" s="30" t="s">
        <v>22</v>
      </c>
      <c r="S7" s="38"/>
    </row>
    <row r="8" spans="1:19" x14ac:dyDescent="0.25">
      <c r="A8" s="5" t="s">
        <v>35</v>
      </c>
      <c r="B8" s="6" t="s">
        <v>33</v>
      </c>
      <c r="C8" s="20">
        <v>46088</v>
      </c>
      <c r="D8" s="24">
        <v>37</v>
      </c>
      <c r="E8" s="6">
        <v>21.3</v>
      </c>
      <c r="F8" s="6">
        <v>21</v>
      </c>
      <c r="G8" s="6">
        <v>18.7</v>
      </c>
      <c r="H8" s="6">
        <v>0</v>
      </c>
      <c r="I8" s="25">
        <v>10</v>
      </c>
      <c r="J8" s="24">
        <v>37.200000000000003</v>
      </c>
      <c r="K8" s="6">
        <v>21</v>
      </c>
      <c r="L8" s="6">
        <v>20</v>
      </c>
      <c r="M8" s="6">
        <v>20.100000000000001</v>
      </c>
      <c r="N8" s="6">
        <v>0</v>
      </c>
      <c r="O8" s="25">
        <v>10</v>
      </c>
      <c r="Q8" s="36" t="s">
        <v>23</v>
      </c>
      <c r="R8" s="8" t="s">
        <v>18</v>
      </c>
      <c r="S8" s="7">
        <v>0.51700000000000002</v>
      </c>
    </row>
    <row r="9" spans="1:19" x14ac:dyDescent="0.25">
      <c r="A9" s="5" t="s">
        <v>35</v>
      </c>
      <c r="B9" s="6" t="s">
        <v>33</v>
      </c>
      <c r="C9" s="20">
        <v>46089</v>
      </c>
      <c r="D9" s="24">
        <v>37.1</v>
      </c>
      <c r="E9" s="6">
        <v>22.8</v>
      </c>
      <c r="F9" s="6">
        <v>17</v>
      </c>
      <c r="G9" s="6">
        <v>16.2</v>
      </c>
      <c r="H9" s="6">
        <v>0</v>
      </c>
      <c r="I9" s="25">
        <v>10</v>
      </c>
      <c r="J9" s="24">
        <v>37.299999999999997</v>
      </c>
      <c r="K9" s="6">
        <v>22.8</v>
      </c>
      <c r="L9" s="6">
        <v>16.5</v>
      </c>
      <c r="M9" s="6">
        <v>16.100000000000001</v>
      </c>
      <c r="N9" s="6">
        <v>0</v>
      </c>
      <c r="O9" s="25">
        <v>10</v>
      </c>
      <c r="Q9" s="36"/>
      <c r="R9" s="10" t="s">
        <v>19</v>
      </c>
      <c r="S9" s="7">
        <v>1.492</v>
      </c>
    </row>
    <row r="10" spans="1:19" x14ac:dyDescent="0.25">
      <c r="A10" s="5" t="s">
        <v>35</v>
      </c>
      <c r="B10" s="6" t="s">
        <v>33</v>
      </c>
      <c r="C10" s="20">
        <v>46090</v>
      </c>
      <c r="D10" s="24">
        <v>37.299999999999997</v>
      </c>
      <c r="E10" s="6">
        <v>23.6</v>
      </c>
      <c r="F10" s="6">
        <v>11</v>
      </c>
      <c r="G10" s="6">
        <v>18.399999999999999</v>
      </c>
      <c r="H10" s="6">
        <v>0</v>
      </c>
      <c r="I10" s="25">
        <v>10</v>
      </c>
      <c r="J10" s="24">
        <v>37.1</v>
      </c>
      <c r="K10" s="6">
        <v>23.6</v>
      </c>
      <c r="L10" s="6">
        <v>11.2</v>
      </c>
      <c r="M10" s="6">
        <v>18.100000000000001</v>
      </c>
      <c r="N10" s="6">
        <v>0</v>
      </c>
      <c r="O10" s="25">
        <v>10</v>
      </c>
      <c r="Q10" s="36"/>
      <c r="R10" s="10" t="s">
        <v>20</v>
      </c>
      <c r="S10" s="7">
        <v>2.3E-2</v>
      </c>
    </row>
    <row r="11" spans="1:19" ht="15.75" thickBot="1" x14ac:dyDescent="0.3">
      <c r="A11" s="5" t="s">
        <v>35</v>
      </c>
      <c r="B11" s="6" t="s">
        <v>33</v>
      </c>
      <c r="C11" s="20">
        <v>46091</v>
      </c>
      <c r="D11" s="24">
        <v>36.700000000000003</v>
      </c>
      <c r="E11" s="6">
        <v>22.4</v>
      </c>
      <c r="F11" s="6">
        <v>12</v>
      </c>
      <c r="G11" s="6">
        <v>14.4</v>
      </c>
      <c r="H11" s="6">
        <v>0</v>
      </c>
      <c r="I11" s="25">
        <v>10</v>
      </c>
      <c r="J11" s="24">
        <v>36.799999999999997</v>
      </c>
      <c r="K11" s="6">
        <v>22.4</v>
      </c>
      <c r="L11" s="6">
        <v>12.1</v>
      </c>
      <c r="M11" s="6">
        <v>13.5</v>
      </c>
      <c r="N11" s="6">
        <v>0</v>
      </c>
      <c r="O11" s="25">
        <v>10</v>
      </c>
      <c r="Q11" s="37"/>
      <c r="R11" s="11" t="s">
        <v>21</v>
      </c>
      <c r="S11" s="7">
        <v>97.686999999999998</v>
      </c>
    </row>
    <row r="12" spans="1:19" ht="15.75" thickBot="1" x14ac:dyDescent="0.3">
      <c r="A12" s="5" t="s">
        <v>35</v>
      </c>
      <c r="B12" s="6" t="s">
        <v>33</v>
      </c>
      <c r="C12" s="20">
        <v>46092</v>
      </c>
      <c r="D12" s="24">
        <v>36.799999999999997</v>
      </c>
      <c r="E12" s="6">
        <v>23.1</v>
      </c>
      <c r="F12" s="6">
        <v>11</v>
      </c>
      <c r="G12" s="6">
        <v>28.1</v>
      </c>
      <c r="H12" s="6">
        <v>0</v>
      </c>
      <c r="I12" s="25">
        <v>10</v>
      </c>
      <c r="J12" s="24">
        <v>36.6</v>
      </c>
      <c r="K12" s="6">
        <v>23.1</v>
      </c>
      <c r="L12" s="6">
        <v>11.1</v>
      </c>
      <c r="M12" s="6">
        <v>28.9</v>
      </c>
      <c r="N12" s="6">
        <v>0</v>
      </c>
      <c r="O12" s="25">
        <v>10</v>
      </c>
      <c r="Q12" s="29" t="s">
        <v>24</v>
      </c>
      <c r="R12" s="30"/>
      <c r="S12" s="31"/>
    </row>
    <row r="13" spans="1:19" x14ac:dyDescent="0.25">
      <c r="A13" s="5" t="s">
        <v>35</v>
      </c>
      <c r="B13" s="6" t="s">
        <v>33</v>
      </c>
      <c r="C13" s="20">
        <v>46093</v>
      </c>
      <c r="D13" s="24">
        <v>36.9</v>
      </c>
      <c r="E13" s="6">
        <v>22.5</v>
      </c>
      <c r="F13" s="6">
        <v>16</v>
      </c>
      <c r="G13" s="6">
        <v>24.5</v>
      </c>
      <c r="H13" s="6">
        <v>0</v>
      </c>
      <c r="I13" s="25">
        <v>10</v>
      </c>
      <c r="J13" s="24">
        <v>36.700000000000003</v>
      </c>
      <c r="K13" s="6">
        <v>22.5</v>
      </c>
      <c r="L13" s="6">
        <v>16.100000000000001</v>
      </c>
      <c r="M13" s="6">
        <v>23.8</v>
      </c>
      <c r="N13" s="6">
        <v>0</v>
      </c>
      <c r="O13" s="25">
        <v>10</v>
      </c>
      <c r="Q13" s="36" t="s">
        <v>25</v>
      </c>
      <c r="R13" s="8" t="s">
        <v>18</v>
      </c>
      <c r="S13" s="7">
        <v>0.67700000000000005</v>
      </c>
    </row>
    <row r="14" spans="1:19" x14ac:dyDescent="0.25">
      <c r="A14" s="5" t="s">
        <v>35</v>
      </c>
      <c r="B14" s="6" t="s">
        <v>33</v>
      </c>
      <c r="C14" s="20">
        <v>46094</v>
      </c>
      <c r="D14" s="24">
        <v>34.9</v>
      </c>
      <c r="E14" s="6">
        <v>22.6</v>
      </c>
      <c r="F14" s="6">
        <v>16</v>
      </c>
      <c r="G14" s="6">
        <v>15.1</v>
      </c>
      <c r="H14" s="6">
        <v>0</v>
      </c>
      <c r="I14" s="25">
        <v>10</v>
      </c>
      <c r="J14" s="24">
        <v>34.9</v>
      </c>
      <c r="K14" s="6">
        <v>22.7</v>
      </c>
      <c r="L14" s="6">
        <v>15.9</v>
      </c>
      <c r="M14" s="6">
        <v>15.1</v>
      </c>
      <c r="N14" s="6">
        <v>0</v>
      </c>
      <c r="O14" s="25">
        <v>10</v>
      </c>
      <c r="Q14" s="36"/>
      <c r="R14" s="10" t="s">
        <v>19</v>
      </c>
      <c r="S14" s="7">
        <v>0.96499999999999997</v>
      </c>
    </row>
    <row r="15" spans="1:19" x14ac:dyDescent="0.25">
      <c r="A15" s="5" t="s">
        <v>35</v>
      </c>
      <c r="B15" s="6" t="s">
        <v>33</v>
      </c>
      <c r="C15" s="20">
        <v>46095</v>
      </c>
      <c r="D15" s="24">
        <v>35.4</v>
      </c>
      <c r="E15" s="6">
        <v>22.7</v>
      </c>
      <c r="F15" s="6">
        <v>17</v>
      </c>
      <c r="G15" s="6">
        <v>17.600000000000001</v>
      </c>
      <c r="H15" s="6">
        <v>0</v>
      </c>
      <c r="I15" s="25">
        <v>10</v>
      </c>
      <c r="J15" s="24">
        <v>34.1</v>
      </c>
      <c r="K15" s="6">
        <v>22.7</v>
      </c>
      <c r="L15" s="6">
        <v>16.600000000000001</v>
      </c>
      <c r="M15" s="6">
        <v>18.100000000000001</v>
      </c>
      <c r="N15" s="6">
        <v>0</v>
      </c>
      <c r="O15" s="25">
        <v>10</v>
      </c>
      <c r="Q15" s="36"/>
      <c r="R15" s="10" t="s">
        <v>20</v>
      </c>
      <c r="S15" s="7">
        <v>1.4E-2</v>
      </c>
    </row>
    <row r="16" spans="1:19" ht="15.75" thickBot="1" x14ac:dyDescent="0.3">
      <c r="A16" s="5" t="s">
        <v>35</v>
      </c>
      <c r="B16" s="6" t="s">
        <v>33</v>
      </c>
      <c r="C16" s="20">
        <v>46096</v>
      </c>
      <c r="D16" s="24">
        <v>35.4</v>
      </c>
      <c r="E16" s="6">
        <v>23.1</v>
      </c>
      <c r="F16" s="6">
        <v>20</v>
      </c>
      <c r="G16" s="6">
        <v>35.6</v>
      </c>
      <c r="H16" s="6">
        <v>0</v>
      </c>
      <c r="I16" s="25">
        <v>10</v>
      </c>
      <c r="J16" s="24">
        <v>34.700000000000003</v>
      </c>
      <c r="K16" s="6">
        <v>23.1</v>
      </c>
      <c r="L16" s="6">
        <v>19.899999999999999</v>
      </c>
      <c r="M16" s="6">
        <v>34.6</v>
      </c>
      <c r="N16" s="6">
        <v>0</v>
      </c>
      <c r="O16" s="25">
        <v>10</v>
      </c>
      <c r="Q16" s="37"/>
      <c r="R16" s="11" t="s">
        <v>21</v>
      </c>
      <c r="S16" s="12">
        <v>98.55</v>
      </c>
    </row>
    <row r="17" spans="1:19" ht="15.75" thickBot="1" x14ac:dyDescent="0.3">
      <c r="A17" s="5" t="s">
        <v>35</v>
      </c>
      <c r="B17" s="6" t="s">
        <v>33</v>
      </c>
      <c r="C17" s="20">
        <v>46097</v>
      </c>
      <c r="D17" s="24">
        <v>34.6</v>
      </c>
      <c r="E17" s="6">
        <v>20.2</v>
      </c>
      <c r="F17" s="6">
        <v>10</v>
      </c>
      <c r="G17" s="6">
        <v>18.399999999999999</v>
      </c>
      <c r="H17" s="6">
        <v>0</v>
      </c>
      <c r="I17" s="25">
        <v>10</v>
      </c>
      <c r="J17" s="24">
        <v>34.299999999999997</v>
      </c>
      <c r="K17" s="6">
        <v>20.2</v>
      </c>
      <c r="L17" s="6">
        <v>9.8000000000000007</v>
      </c>
      <c r="M17" s="6">
        <v>18.5</v>
      </c>
      <c r="N17" s="6">
        <v>0</v>
      </c>
      <c r="O17" s="25">
        <v>10</v>
      </c>
      <c r="Q17" s="29" t="s">
        <v>26</v>
      </c>
      <c r="R17" s="30"/>
      <c r="S17" s="31"/>
    </row>
    <row r="18" spans="1:19" x14ac:dyDescent="0.25">
      <c r="A18" s="5" t="s">
        <v>35</v>
      </c>
      <c r="B18" s="6" t="s">
        <v>33</v>
      </c>
      <c r="C18" s="20">
        <v>46098</v>
      </c>
      <c r="D18" s="24">
        <v>32.200000000000003</v>
      </c>
      <c r="E18" s="6">
        <v>18.2</v>
      </c>
      <c r="F18" s="6">
        <v>21</v>
      </c>
      <c r="G18" s="6">
        <v>19.100000000000001</v>
      </c>
      <c r="H18" s="6">
        <v>0</v>
      </c>
      <c r="I18" s="25">
        <v>10</v>
      </c>
      <c r="J18" s="24">
        <v>31.8</v>
      </c>
      <c r="K18" s="6">
        <v>18.2</v>
      </c>
      <c r="L18" s="6">
        <v>21.3</v>
      </c>
      <c r="M18" s="6">
        <v>20</v>
      </c>
      <c r="N18" s="6">
        <v>0</v>
      </c>
      <c r="O18" s="25">
        <v>10</v>
      </c>
      <c r="Q18" s="39" t="s">
        <v>27</v>
      </c>
      <c r="R18" s="13" t="s">
        <v>18</v>
      </c>
      <c r="S18" s="14">
        <v>0.56399999999999995</v>
      </c>
    </row>
    <row r="19" spans="1:19" x14ac:dyDescent="0.25">
      <c r="A19" s="5" t="s">
        <v>35</v>
      </c>
      <c r="B19" s="6" t="s">
        <v>33</v>
      </c>
      <c r="C19" s="20">
        <v>46099</v>
      </c>
      <c r="D19" s="24">
        <v>33.799999999999997</v>
      </c>
      <c r="E19" s="6">
        <v>20.399999999999999</v>
      </c>
      <c r="F19" s="6">
        <v>18</v>
      </c>
      <c r="G19" s="6">
        <v>32.4</v>
      </c>
      <c r="H19" s="6">
        <v>0</v>
      </c>
      <c r="I19" s="25">
        <v>10</v>
      </c>
      <c r="J19" s="24">
        <v>33.799999999999997</v>
      </c>
      <c r="K19" s="6">
        <v>20.399999999999999</v>
      </c>
      <c r="L19" s="6">
        <v>17.899999999999999</v>
      </c>
      <c r="M19" s="6">
        <v>30.1</v>
      </c>
      <c r="N19" s="6">
        <v>0</v>
      </c>
      <c r="O19" s="25">
        <v>10</v>
      </c>
      <c r="Q19" s="36"/>
      <c r="R19" s="10" t="s">
        <v>19</v>
      </c>
      <c r="S19" s="15">
        <v>0.73</v>
      </c>
    </row>
    <row r="20" spans="1:19" x14ac:dyDescent="0.25">
      <c r="A20" s="5" t="s">
        <v>35</v>
      </c>
      <c r="B20" s="6" t="s">
        <v>33</v>
      </c>
      <c r="C20" s="20">
        <v>46100</v>
      </c>
      <c r="D20" s="24">
        <v>31.2</v>
      </c>
      <c r="E20" s="6">
        <v>21.4</v>
      </c>
      <c r="F20" s="6">
        <v>34</v>
      </c>
      <c r="G20" s="6">
        <v>40</v>
      </c>
      <c r="H20" s="6">
        <v>0</v>
      </c>
      <c r="I20" s="25">
        <v>10</v>
      </c>
      <c r="J20" s="24">
        <v>30.9</v>
      </c>
      <c r="K20" s="6">
        <v>21.4</v>
      </c>
      <c r="L20" s="6">
        <v>33.299999999999997</v>
      </c>
      <c r="M20" s="6">
        <v>39.1</v>
      </c>
      <c r="N20" s="6">
        <v>0</v>
      </c>
      <c r="O20" s="25">
        <v>10</v>
      </c>
      <c r="Q20" s="36"/>
      <c r="R20" s="10" t="s">
        <v>20</v>
      </c>
      <c r="S20" s="15">
        <v>2.3E-2</v>
      </c>
    </row>
    <row r="21" spans="1:19" ht="15.75" thickBot="1" x14ac:dyDescent="0.3">
      <c r="A21" s="5" t="s">
        <v>35</v>
      </c>
      <c r="B21" s="6" t="s">
        <v>33</v>
      </c>
      <c r="C21" s="20">
        <v>46101</v>
      </c>
      <c r="D21" s="24">
        <v>28.1</v>
      </c>
      <c r="E21" s="6">
        <v>17.5</v>
      </c>
      <c r="F21" s="6">
        <v>48</v>
      </c>
      <c r="G21" s="6">
        <v>18.399999999999999</v>
      </c>
      <c r="H21" s="6">
        <v>2.2999999999999998</v>
      </c>
      <c r="I21" s="25">
        <v>9.1999999999999993</v>
      </c>
      <c r="J21" s="24">
        <v>28.2</v>
      </c>
      <c r="K21" s="6">
        <v>18.5</v>
      </c>
      <c r="L21" s="6">
        <v>47.5</v>
      </c>
      <c r="M21" s="6">
        <v>18.8</v>
      </c>
      <c r="N21" s="6">
        <v>1.3</v>
      </c>
      <c r="O21" s="25">
        <v>9.1999999999999993</v>
      </c>
      <c r="Q21" s="37"/>
      <c r="R21" s="11" t="s">
        <v>21</v>
      </c>
      <c r="S21" s="16">
        <v>97.641000000000005</v>
      </c>
    </row>
    <row r="22" spans="1:19" ht="15.75" thickBot="1" x14ac:dyDescent="0.3">
      <c r="A22" s="5" t="s">
        <v>35</v>
      </c>
      <c r="B22" s="6" t="s">
        <v>33</v>
      </c>
      <c r="C22" s="20">
        <v>46102</v>
      </c>
      <c r="D22" s="24">
        <v>29.7</v>
      </c>
      <c r="E22" s="6">
        <v>19.399999999999999</v>
      </c>
      <c r="F22" s="6">
        <v>35</v>
      </c>
      <c r="G22" s="6">
        <v>15.1</v>
      </c>
      <c r="H22" s="6">
        <v>0</v>
      </c>
      <c r="I22" s="25">
        <v>10</v>
      </c>
      <c r="J22" s="24">
        <v>30.1</v>
      </c>
      <c r="K22" s="6">
        <v>27.4</v>
      </c>
      <c r="L22" s="6">
        <v>35.1</v>
      </c>
      <c r="M22" s="6">
        <v>15</v>
      </c>
      <c r="N22" s="6">
        <v>0</v>
      </c>
      <c r="O22" s="25">
        <v>10</v>
      </c>
      <c r="Q22" s="29" t="s">
        <v>28</v>
      </c>
      <c r="R22" s="30"/>
      <c r="S22" s="31"/>
    </row>
    <row r="23" spans="1:19" x14ac:dyDescent="0.25">
      <c r="A23" s="5" t="s">
        <v>35</v>
      </c>
      <c r="B23" s="6" t="s">
        <v>33</v>
      </c>
      <c r="C23" s="20">
        <v>46103</v>
      </c>
      <c r="D23" s="24">
        <v>31</v>
      </c>
      <c r="E23" s="6">
        <v>24.1</v>
      </c>
      <c r="F23" s="6">
        <v>31</v>
      </c>
      <c r="G23" s="6">
        <v>13.3</v>
      </c>
      <c r="H23" s="6">
        <v>2.2000000000000002</v>
      </c>
      <c r="I23" s="25">
        <v>9.8000000000000007</v>
      </c>
      <c r="J23" s="24">
        <v>30.9</v>
      </c>
      <c r="K23" s="6">
        <v>27.4</v>
      </c>
      <c r="L23" s="6">
        <v>30.5</v>
      </c>
      <c r="M23" s="6">
        <v>13.3</v>
      </c>
      <c r="N23" s="6">
        <v>2.2999999999999998</v>
      </c>
      <c r="O23" s="25">
        <v>9.8000000000000007</v>
      </c>
      <c r="Q23" s="36" t="s">
        <v>29</v>
      </c>
      <c r="R23" s="8" t="s">
        <v>18</v>
      </c>
      <c r="S23" s="14">
        <v>0.09</v>
      </c>
    </row>
    <row r="24" spans="1:19" x14ac:dyDescent="0.25">
      <c r="A24" s="5" t="s">
        <v>35</v>
      </c>
      <c r="B24" s="6" t="s">
        <v>33</v>
      </c>
      <c r="C24" s="20">
        <v>46104</v>
      </c>
      <c r="D24" s="24">
        <v>29.8</v>
      </c>
      <c r="E24" s="6">
        <v>22.9</v>
      </c>
      <c r="F24" s="6">
        <v>36</v>
      </c>
      <c r="G24" s="6">
        <v>10.1</v>
      </c>
      <c r="H24" s="6">
        <v>0</v>
      </c>
      <c r="I24" s="25">
        <v>10</v>
      </c>
      <c r="J24" s="24">
        <v>29.8</v>
      </c>
      <c r="K24" s="6">
        <v>27.4</v>
      </c>
      <c r="L24" s="6">
        <v>35.200000000000003</v>
      </c>
      <c r="M24" s="6">
        <v>9.8000000000000007</v>
      </c>
      <c r="N24" s="6">
        <v>0</v>
      </c>
      <c r="O24" s="25">
        <v>10</v>
      </c>
      <c r="Q24" s="36"/>
      <c r="R24" s="10" t="s">
        <v>19</v>
      </c>
      <c r="S24" s="15">
        <v>0.41</v>
      </c>
    </row>
    <row r="25" spans="1:19" x14ac:dyDescent="0.25">
      <c r="A25" s="5" t="s">
        <v>35</v>
      </c>
      <c r="B25" s="6" t="s">
        <v>33</v>
      </c>
      <c r="C25" s="20">
        <v>46105</v>
      </c>
      <c r="D25" s="24">
        <v>33.700000000000003</v>
      </c>
      <c r="E25" s="6">
        <v>24.3</v>
      </c>
      <c r="F25" s="6">
        <v>23</v>
      </c>
      <c r="G25" s="6">
        <v>13.7</v>
      </c>
      <c r="H25" s="6">
        <v>0</v>
      </c>
      <c r="I25" s="25">
        <v>10</v>
      </c>
      <c r="J25" s="24">
        <v>33.5</v>
      </c>
      <c r="K25" s="6">
        <v>27.4</v>
      </c>
      <c r="L25" s="6">
        <v>23</v>
      </c>
      <c r="M25" s="6">
        <v>13.5</v>
      </c>
      <c r="N25" s="6">
        <v>0</v>
      </c>
      <c r="O25" s="25">
        <v>10</v>
      </c>
      <c r="Q25" s="36"/>
      <c r="R25" s="10" t="s">
        <v>20</v>
      </c>
      <c r="S25" s="15">
        <v>0.10199999999999999</v>
      </c>
    </row>
    <row r="26" spans="1:19" ht="15.75" thickBot="1" x14ac:dyDescent="0.3">
      <c r="A26" s="5" t="s">
        <v>35</v>
      </c>
      <c r="B26" s="6" t="s">
        <v>33</v>
      </c>
      <c r="C26" s="20">
        <v>46106</v>
      </c>
      <c r="D26" s="24">
        <v>34.200000000000003</v>
      </c>
      <c r="E26" s="6">
        <v>24.7</v>
      </c>
      <c r="F26" s="6">
        <v>26</v>
      </c>
      <c r="G26" s="6">
        <v>26.3</v>
      </c>
      <c r="H26" s="6">
        <v>0</v>
      </c>
      <c r="I26" s="25">
        <v>10</v>
      </c>
      <c r="J26" s="24">
        <v>33.9</v>
      </c>
      <c r="K26" s="6">
        <v>27.4</v>
      </c>
      <c r="L26" s="6">
        <v>26</v>
      </c>
      <c r="M26" s="6">
        <v>25.7</v>
      </c>
      <c r="N26" s="6">
        <v>0</v>
      </c>
      <c r="O26" s="25">
        <v>10</v>
      </c>
      <c r="Q26" s="37"/>
      <c r="R26" s="11" t="s">
        <v>21</v>
      </c>
      <c r="S26" s="16">
        <v>89.793000000000006</v>
      </c>
    </row>
    <row r="27" spans="1:19" ht="15.75" thickBot="1" x14ac:dyDescent="0.3">
      <c r="A27" s="5" t="s">
        <v>35</v>
      </c>
      <c r="B27" s="6" t="s">
        <v>33</v>
      </c>
      <c r="C27" s="20">
        <v>46107</v>
      </c>
      <c r="D27" s="24">
        <v>34.1</v>
      </c>
      <c r="E27" s="6">
        <v>24.7</v>
      </c>
      <c r="F27" s="6">
        <v>25</v>
      </c>
      <c r="G27" s="6">
        <v>20.2</v>
      </c>
      <c r="H27" s="6">
        <v>0</v>
      </c>
      <c r="I27" s="25">
        <v>10</v>
      </c>
      <c r="J27" s="24">
        <v>34.1</v>
      </c>
      <c r="K27" s="6">
        <v>27.4</v>
      </c>
      <c r="L27" s="6">
        <v>24.6</v>
      </c>
      <c r="M27" s="6">
        <v>20</v>
      </c>
      <c r="N27" s="6">
        <v>0</v>
      </c>
      <c r="O27" s="25">
        <v>10</v>
      </c>
      <c r="Q27" s="29" t="s">
        <v>30</v>
      </c>
      <c r="R27" s="30"/>
      <c r="S27" s="31"/>
    </row>
    <row r="28" spans="1:19" x14ac:dyDescent="0.25">
      <c r="A28" s="5" t="s">
        <v>35</v>
      </c>
      <c r="B28" s="6" t="s">
        <v>33</v>
      </c>
      <c r="C28" s="20">
        <v>46108</v>
      </c>
      <c r="D28" s="24">
        <v>32.799999999999997</v>
      </c>
      <c r="E28" s="6">
        <v>23.7</v>
      </c>
      <c r="F28" s="6">
        <v>30</v>
      </c>
      <c r="G28" s="6">
        <v>24.8</v>
      </c>
      <c r="H28" s="6">
        <v>0</v>
      </c>
      <c r="I28" s="25">
        <v>10</v>
      </c>
      <c r="J28" s="24">
        <v>32.4</v>
      </c>
      <c r="K28" s="6">
        <v>27.4</v>
      </c>
      <c r="L28" s="6">
        <v>29.6</v>
      </c>
      <c r="M28" s="6">
        <v>25</v>
      </c>
      <c r="N28" s="6">
        <v>0</v>
      </c>
      <c r="O28" s="25">
        <v>10</v>
      </c>
      <c r="Q28" s="39" t="s">
        <v>31</v>
      </c>
      <c r="R28" s="13" t="s">
        <v>18</v>
      </c>
      <c r="S28" s="14">
        <f>AVERAGE(ABS(I:I -O:O ))</f>
        <v>0</v>
      </c>
    </row>
    <row r="29" spans="1:19" x14ac:dyDescent="0.25">
      <c r="A29" s="5" t="s">
        <v>35</v>
      </c>
      <c r="B29" s="6" t="s">
        <v>33</v>
      </c>
      <c r="C29" s="20">
        <v>46109</v>
      </c>
      <c r="D29" s="24">
        <v>35.5</v>
      </c>
      <c r="E29" s="6">
        <v>24.9</v>
      </c>
      <c r="F29" s="6">
        <v>27</v>
      </c>
      <c r="G29" s="6">
        <v>23.8</v>
      </c>
      <c r="H29" s="6">
        <v>0.1</v>
      </c>
      <c r="I29" s="25">
        <v>10</v>
      </c>
      <c r="J29" s="24">
        <v>35.6</v>
      </c>
      <c r="K29" s="6">
        <v>27.4</v>
      </c>
      <c r="L29" s="6">
        <v>27</v>
      </c>
      <c r="M29" s="6">
        <v>24.5</v>
      </c>
      <c r="N29" s="6">
        <v>1.1000000000000001</v>
      </c>
      <c r="O29" s="25">
        <v>10</v>
      </c>
      <c r="Q29" s="36"/>
      <c r="R29" s="10" t="s">
        <v>19</v>
      </c>
      <c r="S29" s="15">
        <f>SQRT(SUMSQ(I:I -O:O ) / COUNTA(I:I))</f>
        <v>0</v>
      </c>
    </row>
    <row r="30" spans="1:19" x14ac:dyDescent="0.25">
      <c r="A30" s="5" t="s">
        <v>35</v>
      </c>
      <c r="B30" s="6" t="s">
        <v>33</v>
      </c>
      <c r="C30" s="20">
        <v>46110</v>
      </c>
      <c r="D30" s="24">
        <v>34.4</v>
      </c>
      <c r="E30" s="6">
        <v>25.4</v>
      </c>
      <c r="F30" s="6">
        <v>32</v>
      </c>
      <c r="G30" s="6">
        <v>32.799999999999997</v>
      </c>
      <c r="H30" s="6">
        <v>0</v>
      </c>
      <c r="I30" s="25">
        <v>10</v>
      </c>
      <c r="J30" s="24">
        <v>34.1</v>
      </c>
      <c r="K30" s="6">
        <v>25.4</v>
      </c>
      <c r="L30" s="6">
        <v>30.9</v>
      </c>
      <c r="M30" s="6">
        <v>33.9</v>
      </c>
      <c r="N30" s="6">
        <v>0</v>
      </c>
      <c r="O30" s="25">
        <v>10</v>
      </c>
      <c r="Q30" s="36"/>
      <c r="R30" s="10" t="s">
        <v>20</v>
      </c>
      <c r="S30" s="15">
        <f>AVERAGE(ABS((I:I -O:O) /I:I ))</f>
        <v>0</v>
      </c>
    </row>
    <row r="31" spans="1:19" ht="15.75" thickBot="1" x14ac:dyDescent="0.3">
      <c r="A31" s="5" t="s">
        <v>35</v>
      </c>
      <c r="B31" s="6" t="s">
        <v>33</v>
      </c>
      <c r="C31" s="20">
        <v>46111</v>
      </c>
      <c r="D31" s="24">
        <v>29.6</v>
      </c>
      <c r="E31" s="6">
        <v>24.2</v>
      </c>
      <c r="F31" s="6">
        <v>43</v>
      </c>
      <c r="G31" s="6">
        <v>24.1</v>
      </c>
      <c r="H31" s="6">
        <v>4.5999999999999996</v>
      </c>
      <c r="I31" s="25">
        <v>9.8000000000000007</v>
      </c>
      <c r="J31" s="24">
        <v>29.5</v>
      </c>
      <c r="K31" s="6">
        <v>24.2</v>
      </c>
      <c r="L31" s="6">
        <v>42.1</v>
      </c>
      <c r="M31" s="6">
        <v>24.6</v>
      </c>
      <c r="N31" s="6">
        <v>4.7</v>
      </c>
      <c r="O31" s="25">
        <v>9.8000000000000007</v>
      </c>
      <c r="Q31" s="37"/>
      <c r="R31" s="11" t="s">
        <v>21</v>
      </c>
      <c r="S31" s="16">
        <f>(1 -S30) * 100</f>
        <v>100</v>
      </c>
    </row>
    <row r="32" spans="1:19" x14ac:dyDescent="0.25">
      <c r="A32" s="5" t="s">
        <v>35</v>
      </c>
      <c r="B32" s="6" t="s">
        <v>33</v>
      </c>
      <c r="C32" s="20">
        <v>46112</v>
      </c>
      <c r="D32" s="24">
        <v>33.4</v>
      </c>
      <c r="E32" s="6">
        <v>22.3</v>
      </c>
      <c r="F32" s="6">
        <v>39</v>
      </c>
      <c r="G32" s="6">
        <v>23.8</v>
      </c>
      <c r="H32" s="6">
        <v>0</v>
      </c>
      <c r="I32" s="25">
        <v>10</v>
      </c>
      <c r="J32" s="24">
        <v>33.1</v>
      </c>
      <c r="K32" s="6">
        <v>22.3</v>
      </c>
      <c r="L32" s="6">
        <v>38.299999999999997</v>
      </c>
      <c r="M32" s="6">
        <v>23.2</v>
      </c>
      <c r="N32" s="6">
        <v>0</v>
      </c>
      <c r="O32" s="25">
        <v>10</v>
      </c>
      <c r="Q32" s="17"/>
      <c r="R32" s="17"/>
      <c r="S32" s="17"/>
    </row>
    <row r="33" spans="1:19" ht="15.75" x14ac:dyDescent="0.25">
      <c r="A33" s="6" t="s">
        <v>14</v>
      </c>
      <c r="B33" s="6" t="s">
        <v>34</v>
      </c>
      <c r="C33" s="20">
        <v>46082</v>
      </c>
      <c r="D33" s="24">
        <v>28.9</v>
      </c>
      <c r="E33" s="6">
        <v>23.1</v>
      </c>
      <c r="F33" s="6">
        <v>71</v>
      </c>
      <c r="G33" s="6">
        <v>29.9</v>
      </c>
      <c r="H33" s="6">
        <v>0</v>
      </c>
      <c r="I33" s="25">
        <v>10</v>
      </c>
      <c r="J33" s="24">
        <v>29.4</v>
      </c>
      <c r="K33" s="6">
        <v>23.1</v>
      </c>
      <c r="L33" s="6">
        <v>70.400000000000006</v>
      </c>
      <c r="M33" s="6">
        <v>30.5</v>
      </c>
      <c r="N33" s="6">
        <v>0</v>
      </c>
      <c r="O33" s="25">
        <v>10</v>
      </c>
      <c r="Q33" s="40" t="s">
        <v>32</v>
      </c>
      <c r="R33" s="40"/>
      <c r="S33" s="18">
        <v>97.161000000000001</v>
      </c>
    </row>
    <row r="34" spans="1:19" x14ac:dyDescent="0.25">
      <c r="A34" s="6" t="s">
        <v>14</v>
      </c>
      <c r="B34" s="6" t="s">
        <v>34</v>
      </c>
      <c r="C34" s="20">
        <v>46083</v>
      </c>
      <c r="D34" s="24">
        <v>29.3</v>
      </c>
      <c r="E34" s="6">
        <v>23.7</v>
      </c>
      <c r="F34" s="6">
        <v>71</v>
      </c>
      <c r="G34" s="6">
        <v>28.8</v>
      </c>
      <c r="H34" s="6">
        <v>0</v>
      </c>
      <c r="I34" s="25">
        <v>10</v>
      </c>
      <c r="J34" s="24">
        <v>29.2</v>
      </c>
      <c r="K34" s="6">
        <v>23.7</v>
      </c>
      <c r="L34" s="6">
        <v>71.099999999999994</v>
      </c>
      <c r="M34" s="6">
        <v>30.9</v>
      </c>
      <c r="N34" s="6">
        <v>0</v>
      </c>
      <c r="O34" s="25">
        <v>10</v>
      </c>
    </row>
    <row r="35" spans="1:19" x14ac:dyDescent="0.25">
      <c r="A35" s="6" t="s">
        <v>14</v>
      </c>
      <c r="B35" s="6" t="s">
        <v>34</v>
      </c>
      <c r="C35" s="20">
        <v>46084</v>
      </c>
      <c r="D35" s="24">
        <v>29.3</v>
      </c>
      <c r="E35" s="6">
        <v>23.8</v>
      </c>
      <c r="F35" s="6">
        <v>69</v>
      </c>
      <c r="G35" s="6">
        <v>25.9</v>
      </c>
      <c r="H35" s="6">
        <v>0</v>
      </c>
      <c r="I35" s="25">
        <v>10</v>
      </c>
      <c r="J35" s="24">
        <v>28.9</v>
      </c>
      <c r="K35" s="6">
        <v>23.8</v>
      </c>
      <c r="L35" s="6">
        <v>70.7</v>
      </c>
      <c r="M35" s="6">
        <v>26.7</v>
      </c>
      <c r="N35" s="6">
        <v>0</v>
      </c>
      <c r="O35" s="25">
        <v>10</v>
      </c>
    </row>
    <row r="36" spans="1:19" x14ac:dyDescent="0.25">
      <c r="A36" s="6" t="s">
        <v>14</v>
      </c>
      <c r="B36" s="6" t="s">
        <v>34</v>
      </c>
      <c r="C36" s="20">
        <v>46085</v>
      </c>
      <c r="D36" s="24">
        <v>30</v>
      </c>
      <c r="E36" s="6">
        <v>23.4</v>
      </c>
      <c r="F36" s="6">
        <v>65</v>
      </c>
      <c r="G36" s="6">
        <v>26.3</v>
      </c>
      <c r="H36" s="6">
        <v>0</v>
      </c>
      <c r="I36" s="25">
        <v>10</v>
      </c>
      <c r="J36" s="24">
        <v>30.2</v>
      </c>
      <c r="K36" s="6">
        <v>23.4</v>
      </c>
      <c r="L36" s="6">
        <v>65.8</v>
      </c>
      <c r="M36" s="6">
        <v>26</v>
      </c>
      <c r="N36" s="6">
        <v>0</v>
      </c>
      <c r="O36" s="25">
        <v>10</v>
      </c>
    </row>
    <row r="37" spans="1:19" x14ac:dyDescent="0.25">
      <c r="A37" s="6" t="s">
        <v>14</v>
      </c>
      <c r="B37" s="6" t="s">
        <v>34</v>
      </c>
      <c r="C37" s="20">
        <v>46086</v>
      </c>
      <c r="D37" s="24">
        <v>30.2</v>
      </c>
      <c r="E37" s="6">
        <v>23.5</v>
      </c>
      <c r="F37" s="6">
        <v>67</v>
      </c>
      <c r="G37" s="6">
        <v>27</v>
      </c>
      <c r="H37" s="6">
        <v>0</v>
      </c>
      <c r="I37" s="25">
        <v>10</v>
      </c>
      <c r="J37" s="24">
        <v>29.8</v>
      </c>
      <c r="K37" s="6">
        <v>23.5</v>
      </c>
      <c r="L37" s="6">
        <v>66.5</v>
      </c>
      <c r="M37" s="6">
        <v>28.3</v>
      </c>
      <c r="N37" s="6">
        <v>0</v>
      </c>
      <c r="O37" s="25">
        <v>10</v>
      </c>
    </row>
    <row r="38" spans="1:19" x14ac:dyDescent="0.25">
      <c r="A38" s="6" t="s">
        <v>14</v>
      </c>
      <c r="B38" s="6" t="s">
        <v>34</v>
      </c>
      <c r="C38" s="20">
        <v>46087</v>
      </c>
      <c r="D38" s="24">
        <v>29</v>
      </c>
      <c r="E38" s="6">
        <v>23.8</v>
      </c>
      <c r="F38" s="6">
        <v>72</v>
      </c>
      <c r="G38" s="6">
        <v>26.6</v>
      </c>
      <c r="H38" s="6">
        <v>0</v>
      </c>
      <c r="I38" s="25">
        <v>10</v>
      </c>
      <c r="J38" s="24">
        <v>29</v>
      </c>
      <c r="K38" s="6">
        <v>23.8</v>
      </c>
      <c r="L38" s="6">
        <v>71.7</v>
      </c>
      <c r="M38" s="6">
        <v>26.3</v>
      </c>
      <c r="N38" s="6">
        <v>0</v>
      </c>
      <c r="O38" s="25">
        <v>10</v>
      </c>
    </row>
    <row r="39" spans="1:19" x14ac:dyDescent="0.25">
      <c r="A39" s="6" t="s">
        <v>14</v>
      </c>
      <c r="B39" s="6" t="s">
        <v>34</v>
      </c>
      <c r="C39" s="20">
        <v>46088</v>
      </c>
      <c r="D39" s="24">
        <v>28.6</v>
      </c>
      <c r="E39" s="6">
        <v>24.1</v>
      </c>
      <c r="F39" s="6">
        <v>75</v>
      </c>
      <c r="G39" s="6">
        <v>28.1</v>
      </c>
      <c r="H39" s="6">
        <v>0</v>
      </c>
      <c r="I39" s="25">
        <v>10</v>
      </c>
      <c r="J39" s="24">
        <v>28</v>
      </c>
      <c r="K39" s="6">
        <v>24.1</v>
      </c>
      <c r="L39" s="6">
        <v>73.2</v>
      </c>
      <c r="M39" s="6">
        <v>27.6</v>
      </c>
      <c r="N39" s="6">
        <v>0</v>
      </c>
      <c r="O39" s="25">
        <v>10</v>
      </c>
    </row>
    <row r="40" spans="1:19" x14ac:dyDescent="0.25">
      <c r="A40" s="6" t="s">
        <v>14</v>
      </c>
      <c r="B40" s="6" t="s">
        <v>34</v>
      </c>
      <c r="C40" s="20">
        <v>46089</v>
      </c>
      <c r="D40" s="24">
        <v>28.6</v>
      </c>
      <c r="E40" s="6">
        <v>24.8</v>
      </c>
      <c r="F40" s="6">
        <v>68</v>
      </c>
      <c r="G40" s="6">
        <v>25.9</v>
      </c>
      <c r="H40" s="6">
        <v>0</v>
      </c>
      <c r="I40" s="25">
        <v>10</v>
      </c>
      <c r="J40" s="24">
        <v>28.2</v>
      </c>
      <c r="K40" s="6">
        <v>24.8</v>
      </c>
      <c r="L40" s="6">
        <v>66.8</v>
      </c>
      <c r="M40" s="6">
        <v>27</v>
      </c>
      <c r="N40" s="6">
        <v>0</v>
      </c>
      <c r="O40" s="25">
        <v>10</v>
      </c>
    </row>
    <row r="41" spans="1:19" x14ac:dyDescent="0.25">
      <c r="A41" s="6" t="s">
        <v>14</v>
      </c>
      <c r="B41" s="6" t="s">
        <v>34</v>
      </c>
      <c r="C41" s="20">
        <v>46090</v>
      </c>
      <c r="D41" s="24">
        <v>27.8</v>
      </c>
      <c r="E41" s="6">
        <v>23.8</v>
      </c>
      <c r="F41" s="6">
        <v>71</v>
      </c>
      <c r="G41" s="6">
        <v>19.8</v>
      </c>
      <c r="H41" s="6">
        <v>0</v>
      </c>
      <c r="I41" s="25">
        <v>10</v>
      </c>
      <c r="J41" s="24">
        <v>27.8</v>
      </c>
      <c r="K41" s="6">
        <v>23.8</v>
      </c>
      <c r="L41" s="6">
        <v>72.5</v>
      </c>
      <c r="M41" s="6">
        <v>19.100000000000001</v>
      </c>
      <c r="N41" s="6">
        <v>0</v>
      </c>
      <c r="O41" s="25">
        <v>10</v>
      </c>
    </row>
    <row r="42" spans="1:19" x14ac:dyDescent="0.25">
      <c r="A42" s="6" t="s">
        <v>14</v>
      </c>
      <c r="B42" s="6" t="s">
        <v>34</v>
      </c>
      <c r="C42" s="20">
        <v>46091</v>
      </c>
      <c r="D42" s="24">
        <v>28.5</v>
      </c>
      <c r="E42" s="6">
        <v>23.6</v>
      </c>
      <c r="F42" s="6">
        <v>65</v>
      </c>
      <c r="G42" s="6">
        <v>20.9</v>
      </c>
      <c r="H42" s="6">
        <v>0</v>
      </c>
      <c r="I42" s="25">
        <v>10</v>
      </c>
      <c r="J42" s="24">
        <v>28.7</v>
      </c>
      <c r="K42" s="6">
        <v>23.6</v>
      </c>
      <c r="L42" s="6">
        <v>65.099999999999994</v>
      </c>
      <c r="M42" s="6">
        <v>19.7</v>
      </c>
      <c r="N42" s="6">
        <v>0</v>
      </c>
      <c r="O42" s="25">
        <v>10</v>
      </c>
    </row>
    <row r="43" spans="1:19" x14ac:dyDescent="0.25">
      <c r="A43" s="6" t="s">
        <v>14</v>
      </c>
      <c r="B43" s="6" t="s">
        <v>34</v>
      </c>
      <c r="C43" s="20">
        <v>46092</v>
      </c>
      <c r="D43" s="24">
        <v>29.3</v>
      </c>
      <c r="E43" s="6">
        <v>23.3</v>
      </c>
      <c r="F43" s="6">
        <v>65</v>
      </c>
      <c r="G43" s="6">
        <v>27</v>
      </c>
      <c r="H43" s="6">
        <v>0</v>
      </c>
      <c r="I43" s="25">
        <v>10</v>
      </c>
      <c r="J43" s="24">
        <v>29.3</v>
      </c>
      <c r="K43" s="6">
        <v>23.3</v>
      </c>
      <c r="L43" s="6">
        <v>63.6</v>
      </c>
      <c r="M43" s="6">
        <v>27.8</v>
      </c>
      <c r="N43" s="6">
        <v>0</v>
      </c>
      <c r="O43" s="25">
        <v>10</v>
      </c>
    </row>
    <row r="44" spans="1:19" x14ac:dyDescent="0.25">
      <c r="A44" s="6" t="s">
        <v>14</v>
      </c>
      <c r="B44" s="6" t="s">
        <v>34</v>
      </c>
      <c r="C44" s="20">
        <v>46093</v>
      </c>
      <c r="D44" s="24">
        <v>29.7</v>
      </c>
      <c r="E44" s="6">
        <v>23.9</v>
      </c>
      <c r="F44" s="6">
        <v>73</v>
      </c>
      <c r="G44" s="6">
        <v>30.6</v>
      </c>
      <c r="H44" s="6">
        <v>0</v>
      </c>
      <c r="I44" s="25">
        <v>10</v>
      </c>
      <c r="J44" s="24">
        <v>29.6</v>
      </c>
      <c r="K44" s="6">
        <v>23.9</v>
      </c>
      <c r="L44" s="6">
        <v>73.400000000000006</v>
      </c>
      <c r="M44" s="6">
        <v>30.7</v>
      </c>
      <c r="N44" s="6">
        <v>0</v>
      </c>
      <c r="O44" s="25">
        <v>10</v>
      </c>
    </row>
    <row r="45" spans="1:19" x14ac:dyDescent="0.25">
      <c r="A45" s="6" t="s">
        <v>14</v>
      </c>
      <c r="B45" s="6" t="s">
        <v>34</v>
      </c>
      <c r="C45" s="20">
        <v>46094</v>
      </c>
      <c r="D45" s="24">
        <v>29.2</v>
      </c>
      <c r="E45" s="6">
        <v>24</v>
      </c>
      <c r="F45" s="6">
        <v>75</v>
      </c>
      <c r="G45" s="6">
        <v>25.9</v>
      </c>
      <c r="H45" s="6">
        <v>0</v>
      </c>
      <c r="I45" s="25">
        <v>10</v>
      </c>
      <c r="J45" s="24">
        <v>29.1</v>
      </c>
      <c r="K45" s="6">
        <v>24</v>
      </c>
      <c r="L45" s="6">
        <v>77</v>
      </c>
      <c r="M45" s="6">
        <v>26</v>
      </c>
      <c r="N45" s="6">
        <v>0</v>
      </c>
      <c r="O45" s="25">
        <v>10</v>
      </c>
    </row>
    <row r="46" spans="1:19" x14ac:dyDescent="0.25">
      <c r="A46" s="6" t="s">
        <v>14</v>
      </c>
      <c r="B46" s="6" t="s">
        <v>34</v>
      </c>
      <c r="C46" s="20">
        <v>46095</v>
      </c>
      <c r="D46" s="24">
        <v>29.3</v>
      </c>
      <c r="E46" s="6">
        <v>24.1</v>
      </c>
      <c r="F46" s="6">
        <v>74</v>
      </c>
      <c r="G46" s="6">
        <v>27.7</v>
      </c>
      <c r="H46" s="6">
        <v>0</v>
      </c>
      <c r="I46" s="25">
        <v>10</v>
      </c>
      <c r="J46" s="24">
        <v>28.8</v>
      </c>
      <c r="K46" s="6">
        <v>24.1</v>
      </c>
      <c r="L46" s="6">
        <v>73.5</v>
      </c>
      <c r="M46" s="6">
        <v>27.4</v>
      </c>
      <c r="N46" s="6">
        <v>0</v>
      </c>
      <c r="O46" s="25">
        <v>10</v>
      </c>
    </row>
    <row r="47" spans="1:19" x14ac:dyDescent="0.25">
      <c r="A47" s="6" t="s">
        <v>14</v>
      </c>
      <c r="B47" s="6" t="s">
        <v>34</v>
      </c>
      <c r="C47" s="20">
        <v>46096</v>
      </c>
      <c r="D47" s="24">
        <v>28.9</v>
      </c>
      <c r="E47" s="6">
        <v>24</v>
      </c>
      <c r="F47" s="6">
        <v>75</v>
      </c>
      <c r="G47" s="6">
        <v>26.6</v>
      </c>
      <c r="H47" s="6">
        <v>0</v>
      </c>
      <c r="I47" s="25">
        <v>10</v>
      </c>
      <c r="J47" s="24">
        <v>28.6</v>
      </c>
      <c r="K47" s="6">
        <v>24</v>
      </c>
      <c r="L47" s="6">
        <v>75.3</v>
      </c>
      <c r="M47" s="6">
        <v>26.5</v>
      </c>
      <c r="N47" s="6">
        <v>0</v>
      </c>
      <c r="O47" s="25">
        <v>10</v>
      </c>
    </row>
    <row r="48" spans="1:19" x14ac:dyDescent="0.25">
      <c r="A48" s="6" t="s">
        <v>14</v>
      </c>
      <c r="B48" s="6" t="s">
        <v>34</v>
      </c>
      <c r="C48" s="20">
        <v>46097</v>
      </c>
      <c r="D48" s="24">
        <v>29.9</v>
      </c>
      <c r="E48" s="6">
        <v>24.2</v>
      </c>
      <c r="F48" s="6">
        <v>72</v>
      </c>
      <c r="G48" s="6">
        <v>33.1</v>
      </c>
      <c r="H48" s="6">
        <v>0</v>
      </c>
      <c r="I48" s="25">
        <v>9.9</v>
      </c>
      <c r="J48" s="24">
        <v>29.7</v>
      </c>
      <c r="K48" s="6">
        <v>24.2</v>
      </c>
      <c r="L48" s="6">
        <v>72.7</v>
      </c>
      <c r="M48" s="6">
        <v>32.700000000000003</v>
      </c>
      <c r="N48" s="6">
        <v>0</v>
      </c>
      <c r="O48" s="25">
        <v>9.9</v>
      </c>
    </row>
    <row r="49" spans="1:15" x14ac:dyDescent="0.25">
      <c r="A49" s="6" t="s">
        <v>14</v>
      </c>
      <c r="B49" s="6" t="s">
        <v>34</v>
      </c>
      <c r="C49" s="20">
        <v>46098</v>
      </c>
      <c r="D49" s="24">
        <v>28.8</v>
      </c>
      <c r="E49" s="6">
        <v>24.5</v>
      </c>
      <c r="F49" s="6">
        <v>66</v>
      </c>
      <c r="G49" s="6">
        <v>26.6</v>
      </c>
      <c r="H49" s="6">
        <v>1.4</v>
      </c>
      <c r="I49" s="25">
        <v>10</v>
      </c>
      <c r="J49" s="24">
        <v>29.1</v>
      </c>
      <c r="K49" s="6">
        <v>24.5</v>
      </c>
      <c r="L49" s="6">
        <v>63.5</v>
      </c>
      <c r="M49" s="6">
        <v>26.1</v>
      </c>
      <c r="N49" s="6">
        <v>1.4</v>
      </c>
      <c r="O49" s="25">
        <v>10</v>
      </c>
    </row>
    <row r="50" spans="1:15" x14ac:dyDescent="0.25">
      <c r="A50" s="6" t="s">
        <v>14</v>
      </c>
      <c r="B50" s="6" t="s">
        <v>34</v>
      </c>
      <c r="C50" s="20">
        <v>46099</v>
      </c>
      <c r="D50" s="24">
        <v>28.8</v>
      </c>
      <c r="E50" s="6">
        <v>23.8</v>
      </c>
      <c r="F50" s="6">
        <v>71</v>
      </c>
      <c r="G50" s="6">
        <v>26.3</v>
      </c>
      <c r="H50" s="6">
        <v>0.5</v>
      </c>
      <c r="I50" s="25">
        <v>10</v>
      </c>
      <c r="J50" s="24">
        <v>28.8</v>
      </c>
      <c r="K50" s="6">
        <v>23.8</v>
      </c>
      <c r="L50" s="6">
        <v>71</v>
      </c>
      <c r="M50" s="6">
        <v>26</v>
      </c>
      <c r="N50" s="6">
        <v>0.5</v>
      </c>
      <c r="O50" s="25">
        <v>10</v>
      </c>
    </row>
    <row r="51" spans="1:15" x14ac:dyDescent="0.25">
      <c r="A51" s="6" t="s">
        <v>14</v>
      </c>
      <c r="B51" s="6" t="s">
        <v>34</v>
      </c>
      <c r="C51" s="20">
        <v>46100</v>
      </c>
      <c r="D51" s="24">
        <v>29.1</v>
      </c>
      <c r="E51" s="6">
        <v>24.4</v>
      </c>
      <c r="F51" s="6">
        <v>67</v>
      </c>
      <c r="G51" s="6">
        <v>27</v>
      </c>
      <c r="H51" s="6">
        <v>1.1000000000000001</v>
      </c>
      <c r="I51" s="25">
        <v>9.6</v>
      </c>
      <c r="J51" s="24">
        <v>28.5</v>
      </c>
      <c r="K51" s="6">
        <v>24.4</v>
      </c>
      <c r="L51" s="6">
        <v>66.7</v>
      </c>
      <c r="M51" s="6">
        <v>26.7</v>
      </c>
      <c r="N51" s="6">
        <v>1.2</v>
      </c>
      <c r="O51" s="25">
        <v>9.6</v>
      </c>
    </row>
    <row r="52" spans="1:15" x14ac:dyDescent="0.25">
      <c r="A52" s="6" t="s">
        <v>14</v>
      </c>
      <c r="B52" s="6" t="s">
        <v>34</v>
      </c>
      <c r="C52" s="20">
        <v>46101</v>
      </c>
      <c r="D52" s="24">
        <v>28.9</v>
      </c>
      <c r="E52" s="6">
        <v>23.2</v>
      </c>
      <c r="F52" s="6">
        <v>70</v>
      </c>
      <c r="G52" s="6">
        <v>29.9</v>
      </c>
      <c r="H52" s="6">
        <v>8</v>
      </c>
      <c r="I52" s="25">
        <v>9.8000000000000007</v>
      </c>
      <c r="J52" s="24">
        <v>28.9</v>
      </c>
      <c r="K52" s="6">
        <v>23.2</v>
      </c>
      <c r="L52" s="6">
        <v>69.8</v>
      </c>
      <c r="M52" s="6">
        <v>29.2</v>
      </c>
      <c r="N52" s="6">
        <v>8.4</v>
      </c>
      <c r="O52" s="25">
        <v>9.8000000000000007</v>
      </c>
    </row>
    <row r="53" spans="1:15" x14ac:dyDescent="0.25">
      <c r="A53" s="6" t="s">
        <v>14</v>
      </c>
      <c r="B53" s="6" t="s">
        <v>34</v>
      </c>
      <c r="C53" s="20">
        <v>46102</v>
      </c>
      <c r="D53" s="24">
        <v>28.8</v>
      </c>
      <c r="E53" s="6">
        <v>23</v>
      </c>
      <c r="F53" s="6">
        <v>72</v>
      </c>
      <c r="G53" s="6">
        <v>19.399999999999999</v>
      </c>
      <c r="H53" s="6">
        <v>16.7</v>
      </c>
      <c r="I53" s="25">
        <v>9.6</v>
      </c>
      <c r="J53" s="24">
        <v>28.6</v>
      </c>
      <c r="K53" s="6">
        <v>23</v>
      </c>
      <c r="L53" s="6">
        <v>70.599999999999994</v>
      </c>
      <c r="M53" s="6">
        <v>19.100000000000001</v>
      </c>
      <c r="N53" s="6">
        <v>13.8</v>
      </c>
      <c r="O53" s="25">
        <v>9.6</v>
      </c>
    </row>
    <row r="54" spans="1:15" x14ac:dyDescent="0.25">
      <c r="A54" s="6" t="s">
        <v>14</v>
      </c>
      <c r="B54" s="6" t="s">
        <v>34</v>
      </c>
      <c r="C54" s="20">
        <v>46103</v>
      </c>
      <c r="D54" s="24">
        <v>29.1</v>
      </c>
      <c r="E54" s="6">
        <v>25</v>
      </c>
      <c r="F54" s="6">
        <v>73</v>
      </c>
      <c r="G54" s="6">
        <v>24.8</v>
      </c>
      <c r="H54" s="6">
        <v>0</v>
      </c>
      <c r="I54" s="25">
        <v>9.9</v>
      </c>
      <c r="J54" s="24">
        <v>28.8</v>
      </c>
      <c r="K54" s="6">
        <v>25</v>
      </c>
      <c r="L54" s="6">
        <v>72.7</v>
      </c>
      <c r="M54" s="6">
        <v>23</v>
      </c>
      <c r="N54" s="6">
        <v>0</v>
      </c>
      <c r="O54" s="25">
        <v>9.9</v>
      </c>
    </row>
    <row r="55" spans="1:15" x14ac:dyDescent="0.25">
      <c r="A55" s="6" t="s">
        <v>14</v>
      </c>
      <c r="B55" s="6" t="s">
        <v>34</v>
      </c>
      <c r="C55" s="20">
        <v>46104</v>
      </c>
      <c r="D55" s="24">
        <v>29.3</v>
      </c>
      <c r="E55" s="6">
        <v>25.2</v>
      </c>
      <c r="F55" s="6">
        <v>73</v>
      </c>
      <c r="G55" s="6">
        <v>25.2</v>
      </c>
      <c r="H55" s="6">
        <v>0</v>
      </c>
      <c r="I55" s="25">
        <v>10</v>
      </c>
      <c r="J55" s="24">
        <v>29.4</v>
      </c>
      <c r="K55" s="6">
        <v>25.2</v>
      </c>
      <c r="L55" s="6">
        <v>73.400000000000006</v>
      </c>
      <c r="M55" s="6">
        <v>25.8</v>
      </c>
      <c r="N55" s="6">
        <v>0</v>
      </c>
      <c r="O55" s="25">
        <v>10</v>
      </c>
    </row>
    <row r="56" spans="1:15" x14ac:dyDescent="0.25">
      <c r="A56" s="6" t="s">
        <v>14</v>
      </c>
      <c r="B56" s="6" t="s">
        <v>34</v>
      </c>
      <c r="C56" s="20">
        <v>46105</v>
      </c>
      <c r="D56" s="24">
        <v>29.1</v>
      </c>
      <c r="E56" s="6">
        <v>24.9</v>
      </c>
      <c r="F56" s="6">
        <v>73</v>
      </c>
      <c r="G56" s="6">
        <v>27</v>
      </c>
      <c r="H56" s="6">
        <v>0</v>
      </c>
      <c r="I56" s="25">
        <v>10</v>
      </c>
      <c r="J56" s="24">
        <v>28.9</v>
      </c>
      <c r="K56" s="6">
        <v>24.9</v>
      </c>
      <c r="L56" s="6">
        <v>74.8</v>
      </c>
      <c r="M56" s="6">
        <v>27.4</v>
      </c>
      <c r="N56" s="6">
        <v>0</v>
      </c>
      <c r="O56" s="25">
        <v>10</v>
      </c>
    </row>
    <row r="57" spans="1:15" x14ac:dyDescent="0.25">
      <c r="A57" s="6" t="s">
        <v>14</v>
      </c>
      <c r="B57" s="6" t="s">
        <v>34</v>
      </c>
      <c r="C57" s="20">
        <v>46106</v>
      </c>
      <c r="D57" s="24">
        <v>29.4</v>
      </c>
      <c r="E57" s="6">
        <v>24.9</v>
      </c>
      <c r="F57" s="6">
        <v>73</v>
      </c>
      <c r="G57" s="6">
        <v>27.4</v>
      </c>
      <c r="H57" s="6">
        <v>0</v>
      </c>
      <c r="I57" s="25">
        <v>10</v>
      </c>
      <c r="J57" s="24">
        <v>29.2</v>
      </c>
      <c r="K57" s="6">
        <v>24.9</v>
      </c>
      <c r="L57" s="6">
        <v>74.099999999999994</v>
      </c>
      <c r="M57" s="6">
        <v>27.4</v>
      </c>
      <c r="N57" s="6">
        <v>0</v>
      </c>
      <c r="O57" s="25">
        <v>10</v>
      </c>
    </row>
    <row r="58" spans="1:15" x14ac:dyDescent="0.25">
      <c r="A58" s="6" t="s">
        <v>14</v>
      </c>
      <c r="B58" s="6" t="s">
        <v>34</v>
      </c>
      <c r="C58" s="20">
        <v>46107</v>
      </c>
      <c r="D58" s="24">
        <v>30.4</v>
      </c>
      <c r="E58" s="6">
        <v>25.1</v>
      </c>
      <c r="F58" s="6">
        <v>70</v>
      </c>
      <c r="G58" s="6">
        <v>24.8</v>
      </c>
      <c r="H58" s="6">
        <v>0</v>
      </c>
      <c r="I58" s="25">
        <v>10</v>
      </c>
      <c r="J58" s="24">
        <v>30.1</v>
      </c>
      <c r="K58" s="6">
        <v>25.1</v>
      </c>
      <c r="L58" s="6">
        <v>72.7</v>
      </c>
      <c r="M58" s="6">
        <v>25</v>
      </c>
      <c r="N58" s="6">
        <v>0</v>
      </c>
      <c r="O58" s="25">
        <v>10</v>
      </c>
    </row>
    <row r="59" spans="1:15" x14ac:dyDescent="0.25">
      <c r="A59" s="6" t="s">
        <v>14</v>
      </c>
      <c r="B59" s="6" t="s">
        <v>34</v>
      </c>
      <c r="C59" s="20">
        <v>46108</v>
      </c>
      <c r="D59" s="24">
        <v>30.5</v>
      </c>
      <c r="E59" s="6">
        <v>25.3</v>
      </c>
      <c r="F59" s="6">
        <v>72</v>
      </c>
      <c r="G59" s="6">
        <v>28.4</v>
      </c>
      <c r="H59" s="6">
        <v>0</v>
      </c>
      <c r="I59" s="25">
        <v>10</v>
      </c>
      <c r="J59" s="24">
        <v>30.3</v>
      </c>
      <c r="K59" s="6">
        <v>25.3</v>
      </c>
      <c r="L59" s="6">
        <v>70.599999999999994</v>
      </c>
      <c r="M59" s="6">
        <v>28.7</v>
      </c>
      <c r="N59" s="6">
        <v>0</v>
      </c>
      <c r="O59" s="25">
        <v>10</v>
      </c>
    </row>
    <row r="60" spans="1:15" x14ac:dyDescent="0.25">
      <c r="A60" s="6" t="s">
        <v>14</v>
      </c>
      <c r="B60" s="6" t="s">
        <v>34</v>
      </c>
      <c r="C60" s="20">
        <v>46109</v>
      </c>
      <c r="D60" s="24">
        <v>30.4</v>
      </c>
      <c r="E60" s="6">
        <v>25.1</v>
      </c>
      <c r="F60" s="6">
        <v>72</v>
      </c>
      <c r="G60" s="6">
        <v>34.6</v>
      </c>
      <c r="H60" s="6">
        <v>3.1</v>
      </c>
      <c r="I60" s="25">
        <v>9.9</v>
      </c>
      <c r="J60" s="24">
        <v>30.4</v>
      </c>
      <c r="K60" s="6">
        <v>25.1</v>
      </c>
      <c r="L60" s="6">
        <v>72.900000000000006</v>
      </c>
      <c r="M60" s="6">
        <v>33.9</v>
      </c>
      <c r="N60" s="6">
        <v>3.1</v>
      </c>
      <c r="O60" s="25">
        <v>9.9</v>
      </c>
    </row>
    <row r="61" spans="1:15" x14ac:dyDescent="0.25">
      <c r="A61" s="6" t="s">
        <v>14</v>
      </c>
      <c r="B61" s="6" t="s">
        <v>34</v>
      </c>
      <c r="C61" s="20">
        <v>46110</v>
      </c>
      <c r="D61" s="24">
        <v>30.6</v>
      </c>
      <c r="E61" s="6">
        <v>25.9</v>
      </c>
      <c r="F61" s="6">
        <v>75</v>
      </c>
      <c r="G61" s="6">
        <v>29.2</v>
      </c>
      <c r="H61" s="6">
        <v>0</v>
      </c>
      <c r="I61" s="25">
        <v>10</v>
      </c>
      <c r="J61" s="24">
        <v>30.8</v>
      </c>
      <c r="K61" s="6">
        <v>25.9</v>
      </c>
      <c r="L61" s="6">
        <v>74.900000000000006</v>
      </c>
      <c r="M61" s="6">
        <v>28.8</v>
      </c>
      <c r="N61" s="6">
        <v>0</v>
      </c>
      <c r="O61" s="25">
        <v>10</v>
      </c>
    </row>
    <row r="62" spans="1:15" x14ac:dyDescent="0.25">
      <c r="A62" s="6" t="s">
        <v>14</v>
      </c>
      <c r="B62" s="6" t="s">
        <v>34</v>
      </c>
      <c r="C62" s="20">
        <v>46111</v>
      </c>
      <c r="D62" s="24">
        <v>30.3</v>
      </c>
      <c r="E62" s="6">
        <v>25.8</v>
      </c>
      <c r="F62" s="6">
        <v>74</v>
      </c>
      <c r="G62" s="6">
        <v>32</v>
      </c>
      <c r="H62" s="6">
        <v>0</v>
      </c>
      <c r="I62" s="25">
        <v>10</v>
      </c>
      <c r="J62" s="24">
        <v>30.1</v>
      </c>
      <c r="K62" s="6">
        <v>25.8</v>
      </c>
      <c r="L62" s="6">
        <v>76.900000000000006</v>
      </c>
      <c r="M62" s="6">
        <v>32.6</v>
      </c>
      <c r="N62" s="6">
        <v>0</v>
      </c>
      <c r="O62" s="25">
        <v>10</v>
      </c>
    </row>
    <row r="63" spans="1:15" ht="15.75" thickBot="1" x14ac:dyDescent="0.3">
      <c r="A63" s="6" t="s">
        <v>14</v>
      </c>
      <c r="B63" s="6" t="s">
        <v>34</v>
      </c>
      <c r="C63" s="20">
        <v>46112</v>
      </c>
      <c r="D63" s="26">
        <v>29.5</v>
      </c>
      <c r="E63" s="27">
        <v>25.6</v>
      </c>
      <c r="F63" s="27">
        <v>73</v>
      </c>
      <c r="G63" s="27">
        <v>27</v>
      </c>
      <c r="H63" s="27">
        <v>0</v>
      </c>
      <c r="I63" s="28">
        <v>10</v>
      </c>
      <c r="J63" s="26">
        <v>29.4</v>
      </c>
      <c r="K63" s="27">
        <v>25.6</v>
      </c>
      <c r="L63" s="27">
        <v>71.5</v>
      </c>
      <c r="M63" s="27">
        <v>27.2</v>
      </c>
      <c r="N63" s="27">
        <v>0</v>
      </c>
      <c r="O63" s="28">
        <v>10</v>
      </c>
    </row>
  </sheetData>
  <mergeCells count="14">
    <mergeCell ref="Q28:Q31"/>
    <mergeCell ref="Q33:R33"/>
    <mergeCell ref="Q13:Q16"/>
    <mergeCell ref="Q17:S17"/>
    <mergeCell ref="Q18:Q21"/>
    <mergeCell ref="Q22:S22"/>
    <mergeCell ref="Q23:Q26"/>
    <mergeCell ref="Q27:S27"/>
    <mergeCell ref="Q12:S12"/>
    <mergeCell ref="Q1:S1"/>
    <mergeCell ref="Q2:S2"/>
    <mergeCell ref="Q3:Q6"/>
    <mergeCell ref="Q7:S7"/>
    <mergeCell ref="Q8:Q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Assessment - Mar 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ML897</cp:lastModifiedBy>
  <dcterms:created xsi:type="dcterms:W3CDTF">2026-03-05T05:52:57Z</dcterms:created>
  <dcterms:modified xsi:type="dcterms:W3CDTF">2026-04-14T05:07:35Z</dcterms:modified>
</cp:coreProperties>
</file>