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FOR DATA SHARING - Z.127\VISHAL\IndusWeather\"/>
    </mc:Choice>
  </mc:AlternateContent>
  <bookViews>
    <workbookView xWindow="0" yWindow="0" windowWidth="20490" windowHeight="7155"/>
  </bookViews>
  <sheets>
    <sheet name="Accuracy Assessment - Feb 2026" sheetId="1" r:id="rId1"/>
  </sheets>
  <definedNames>
    <definedName name="_xlnm._FilterDatabase" localSheetId="0" hidden="1">'Accuracy Assessment - Feb 2026'!$A$1:$O$57</definedName>
  </definedNames>
  <calcPr calcId="152511"/>
</workbook>
</file>

<file path=xl/calcChain.xml><?xml version="1.0" encoding="utf-8"?>
<calcChain xmlns="http://schemas.openxmlformats.org/spreadsheetml/2006/main">
  <c r="S13" i="1" l="1"/>
  <c r="S14" i="1"/>
  <c r="S15" i="1"/>
  <c r="S16" i="1" s="1"/>
  <c r="S30" i="1"/>
  <c r="S31" i="1" s="1"/>
  <c r="S29" i="1"/>
  <c r="S28" i="1"/>
  <c r="S25" i="1"/>
  <c r="S26" i="1" s="1"/>
  <c r="S24" i="1"/>
  <c r="S23" i="1"/>
  <c r="S20" i="1"/>
  <c r="S21" i="1" s="1"/>
  <c r="S19" i="1"/>
  <c r="S18" i="1"/>
  <c r="S10" i="1"/>
  <c r="S11" i="1" s="1"/>
  <c r="S9" i="1"/>
  <c r="S8" i="1"/>
  <c r="S5" i="1"/>
  <c r="S6" i="1" s="1"/>
  <c r="S4" i="1"/>
  <c r="S3" i="1"/>
  <c r="S33" i="1" l="1"/>
</calcChain>
</file>

<file path=xl/sharedStrings.xml><?xml version="1.0" encoding="utf-8"?>
<sst xmlns="http://schemas.openxmlformats.org/spreadsheetml/2006/main" count="166" uniqueCount="37">
  <si>
    <t>Date</t>
  </si>
  <si>
    <t>T_Max_Obs</t>
  </si>
  <si>
    <t>T_Min_Obs</t>
  </si>
  <si>
    <t>H_Avg_Obs</t>
  </si>
  <si>
    <t>Win_M_Obs</t>
  </si>
  <si>
    <t>Rain_T_Obs</t>
  </si>
  <si>
    <t>V_Avg_Obs</t>
  </si>
  <si>
    <t>Bathinda</t>
  </si>
  <si>
    <t>Palnadu</t>
  </si>
  <si>
    <t>District</t>
  </si>
  <si>
    <t>T_Max_Fst</t>
  </si>
  <si>
    <t>T_Min_Fst</t>
  </si>
  <si>
    <t>H_Avg_Fst</t>
  </si>
  <si>
    <t>Win_M_Fst</t>
  </si>
  <si>
    <t>Rain_T_Fst</t>
  </si>
  <si>
    <t>V_Avg_Fst</t>
  </si>
  <si>
    <t>Upper North (Punjab)</t>
  </si>
  <si>
    <t>Andhra Pradesh</t>
  </si>
  <si>
    <t>Forecast Accuracy</t>
  </si>
  <si>
    <t>Maximum Temperature</t>
  </si>
  <si>
    <t>T_Max</t>
  </si>
  <si>
    <t>Mean Absolute Error (MAE)</t>
  </si>
  <si>
    <t>Root Mean Square Error (RMSE)</t>
  </si>
  <si>
    <t>Mean Absolute % Error (MAPE)</t>
  </si>
  <si>
    <t>Accuracy %</t>
  </si>
  <si>
    <t>Minimum Temperature</t>
  </si>
  <si>
    <t>T_Min</t>
  </si>
  <si>
    <t>Average Relative Humidity</t>
  </si>
  <si>
    <t>H_Avg</t>
  </si>
  <si>
    <t>Wind Speed</t>
  </si>
  <si>
    <t>Win_M</t>
  </si>
  <si>
    <t>Rainfall</t>
  </si>
  <si>
    <t>Rain_T</t>
  </si>
  <si>
    <t>Visibility/Fog</t>
  </si>
  <si>
    <t>V_Avg</t>
  </si>
  <si>
    <t>Average Accuracy</t>
  </si>
  <si>
    <t xml:space="preserve">Circle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</si>
</sst>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34" borderId="13" xfId="0" applyFont="1" applyFill="1" applyBorder="1" applyAlignment="1">
      <alignment horizontal="center" vertical="center"/>
    </xf>
    <xf numFmtId="0" fontId="16" fillId="35" borderId="14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0" fontId="16" fillId="35" borderId="15" xfId="0" applyFont="1" applyFill="1" applyBorder="1" applyAlignment="1">
      <alignment horizontal="center" vertical="center"/>
    </xf>
    <xf numFmtId="0" fontId="0" fillId="36" borderId="12" xfId="0" applyFill="1" applyBorder="1"/>
    <xf numFmtId="0" fontId="0" fillId="0" borderId="12" xfId="0" applyBorder="1"/>
    <xf numFmtId="14" fontId="0" fillId="0" borderId="12" xfId="0" applyNumberFormat="1" applyBorder="1"/>
    <xf numFmtId="164" fontId="0" fillId="0" borderId="12" xfId="0" applyNumberFormat="1" applyBorder="1"/>
    <xf numFmtId="165" fontId="0" fillId="0" borderId="12" xfId="0" applyNumberFormat="1" applyBorder="1"/>
    <xf numFmtId="164" fontId="0" fillId="0" borderId="16" xfId="0" applyNumberFormat="1" applyBorder="1"/>
    <xf numFmtId="164" fontId="0" fillId="0" borderId="21" xfId="0" applyNumberFormat="1" applyBorder="1"/>
    <xf numFmtId="164" fontId="0" fillId="0" borderId="11" xfId="0" applyNumberFormat="1" applyBorder="1"/>
    <xf numFmtId="164" fontId="0" fillId="0" borderId="23" xfId="0" applyNumberFormat="1" applyBorder="1"/>
    <xf numFmtId="164" fontId="19" fillId="0" borderId="12" xfId="0" applyNumberFormat="1" applyFont="1" applyBorder="1"/>
    <xf numFmtId="164" fontId="0" fillId="0" borderId="28" xfId="0" applyNumberFormat="1" applyBorder="1"/>
    <xf numFmtId="164" fontId="0" fillId="0" borderId="15" xfId="0" applyNumberFormat="1" applyBorder="1"/>
    <xf numFmtId="164" fontId="0" fillId="0" borderId="29" xfId="0" applyNumberFormat="1" applyBorder="1"/>
    <xf numFmtId="164" fontId="19" fillId="0" borderId="30" xfId="0" applyNumberFormat="1" applyFont="1" applyBorder="1"/>
    <xf numFmtId="164" fontId="0" fillId="0" borderId="0" xfId="0" applyNumberFormat="1"/>
    <xf numFmtId="164" fontId="20" fillId="0" borderId="12" xfId="0" applyNumberFormat="1" applyFont="1" applyBorder="1"/>
    <xf numFmtId="164" fontId="0" fillId="0" borderId="27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20" fillId="0" borderId="12" xfId="0" applyNumberFormat="1" applyFont="1" applyBorder="1" applyAlignment="1">
      <alignment horizontal="center"/>
    </xf>
    <xf numFmtId="164" fontId="16" fillId="38" borderId="24" xfId="0" applyNumberFormat="1" applyFont="1" applyFill="1" applyBorder="1" applyAlignment="1">
      <alignment horizontal="left"/>
    </xf>
    <xf numFmtId="164" fontId="16" fillId="38" borderId="25" xfId="0" applyNumberFormat="1" applyFont="1" applyFill="1" applyBorder="1" applyAlignment="1">
      <alignment horizontal="left"/>
    </xf>
    <xf numFmtId="164" fontId="16" fillId="38" borderId="26" xfId="0" applyNumberFormat="1" applyFont="1" applyFill="1" applyBorder="1" applyAlignment="1">
      <alignment horizontal="left"/>
    </xf>
    <xf numFmtId="0" fontId="18" fillId="37" borderId="12" xfId="0" applyFont="1" applyFill="1" applyBorder="1" applyAlignment="1">
      <alignment horizontal="center"/>
    </xf>
    <xf numFmtId="0" fontId="16" fillId="38" borderId="17" xfId="0" applyFont="1" applyFill="1" applyBorder="1" applyAlignment="1">
      <alignment horizontal="left"/>
    </xf>
    <xf numFmtId="0" fontId="16" fillId="38" borderId="18" xfId="0" applyFont="1" applyFill="1" applyBorder="1" applyAlignment="1">
      <alignment horizontal="left"/>
    </xf>
    <xf numFmtId="0" fontId="16" fillId="38" borderId="19" xfId="0" applyFont="1" applyFill="1" applyBorder="1" applyAlignment="1">
      <alignment horizontal="left"/>
    </xf>
    <xf numFmtId="164" fontId="16" fillId="38" borderId="19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tabSelected="1" workbookViewId="0"/>
  </sheetViews>
  <sheetFormatPr defaultRowHeight="15" x14ac:dyDescent="0.25"/>
  <cols>
    <col min="1" max="1" width="20.28515625" bestFit="1" customWidth="1"/>
    <col min="2" max="2" width="15" customWidth="1"/>
    <col min="3" max="3" width="10.42578125" bestFit="1" customWidth="1"/>
    <col min="4" max="4" width="11.28515625" bestFit="1" customWidth="1"/>
    <col min="5" max="6" width="11" bestFit="1" customWidth="1"/>
    <col min="7" max="7" width="12" bestFit="1" customWidth="1"/>
    <col min="8" max="8" width="11.28515625" bestFit="1" customWidth="1"/>
    <col min="9" max="9" width="11" bestFit="1" customWidth="1"/>
    <col min="10" max="10" width="10.42578125" bestFit="1" customWidth="1"/>
    <col min="11" max="12" width="10.140625" bestFit="1" customWidth="1"/>
    <col min="13" max="13" width="11.140625" bestFit="1" customWidth="1"/>
    <col min="14" max="14" width="10.42578125" bestFit="1" customWidth="1"/>
    <col min="15" max="15" width="10.140625" bestFit="1" customWidth="1"/>
    <col min="16" max="16" width="2.85546875" customWidth="1"/>
    <col min="18" max="18" width="29.140625" bestFit="1" customWidth="1"/>
    <col min="19" max="19" width="11.85546875" bestFit="1" customWidth="1"/>
  </cols>
  <sheetData>
    <row r="1" spans="1:19" ht="18.75" x14ac:dyDescent="0.3">
      <c r="A1" s="1" t="s">
        <v>36</v>
      </c>
      <c r="B1" s="1" t="s">
        <v>9</v>
      </c>
      <c r="C1" s="1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4" t="s">
        <v>6</v>
      </c>
      <c r="J1" s="5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7" t="s">
        <v>15</v>
      </c>
      <c r="Q1" s="31" t="s">
        <v>18</v>
      </c>
      <c r="R1" s="31"/>
      <c r="S1" s="31"/>
    </row>
    <row r="2" spans="1:19" ht="15.75" thickBot="1" x14ac:dyDescent="0.3">
      <c r="A2" s="8" t="s">
        <v>16</v>
      </c>
      <c r="B2" s="9" t="s">
        <v>7</v>
      </c>
      <c r="C2" s="10">
        <v>46054</v>
      </c>
      <c r="D2" s="12">
        <v>22.498520828001201</v>
      </c>
      <c r="E2" s="12">
        <v>9.9973005108134601</v>
      </c>
      <c r="F2" s="12">
        <v>59.019014121116101</v>
      </c>
      <c r="G2" s="12">
        <v>13.297556923753</v>
      </c>
      <c r="H2" s="12">
        <v>9.9990608094707195E-2</v>
      </c>
      <c r="I2" s="12">
        <v>10.0031200427345</v>
      </c>
      <c r="J2" s="9">
        <v>22.5</v>
      </c>
      <c r="K2" s="9">
        <v>10</v>
      </c>
      <c r="L2" s="9">
        <v>59</v>
      </c>
      <c r="M2" s="9">
        <v>13.3</v>
      </c>
      <c r="N2" s="9">
        <v>0.1</v>
      </c>
      <c r="O2" s="9">
        <v>10</v>
      </c>
      <c r="Q2" s="32" t="s">
        <v>19</v>
      </c>
      <c r="R2" s="33"/>
      <c r="S2" s="34"/>
    </row>
    <row r="3" spans="1:19" x14ac:dyDescent="0.25">
      <c r="A3" s="8" t="s">
        <v>16</v>
      </c>
      <c r="B3" s="9" t="s">
        <v>7</v>
      </c>
      <c r="C3" s="10">
        <v>46055</v>
      </c>
      <c r="D3" s="12">
        <v>22.8027716780216</v>
      </c>
      <c r="E3" s="12">
        <v>9.6971061902847904</v>
      </c>
      <c r="F3" s="12">
        <v>57.0057030105908</v>
      </c>
      <c r="G3" s="12">
        <v>10.1007173600218</v>
      </c>
      <c r="H3" s="12">
        <v>0</v>
      </c>
      <c r="I3" s="12">
        <v>9.9990046636211201</v>
      </c>
      <c r="J3" s="9">
        <v>22.8</v>
      </c>
      <c r="K3" s="9">
        <v>9.6999999999999993</v>
      </c>
      <c r="L3" s="9">
        <v>57</v>
      </c>
      <c r="M3" s="9">
        <v>10.1</v>
      </c>
      <c r="N3" s="9">
        <v>0</v>
      </c>
      <c r="O3" s="9">
        <v>10</v>
      </c>
      <c r="Q3" s="25" t="s">
        <v>20</v>
      </c>
      <c r="R3" s="13" t="s">
        <v>21</v>
      </c>
      <c r="S3" s="14">
        <f>AVERAGE(ABS(D:D -J:J ))</f>
        <v>2.7716780215989445E-3</v>
      </c>
    </row>
    <row r="4" spans="1:19" x14ac:dyDescent="0.25">
      <c r="A4" s="8" t="s">
        <v>16</v>
      </c>
      <c r="B4" s="9" t="s">
        <v>7</v>
      </c>
      <c r="C4" s="10">
        <v>46056</v>
      </c>
      <c r="D4" s="12">
        <v>23.295800262784802</v>
      </c>
      <c r="E4" s="12">
        <v>9.4993062368693408</v>
      </c>
      <c r="F4" s="12">
        <v>51.0116154569413</v>
      </c>
      <c r="G4" s="12">
        <v>11.2000541769011</v>
      </c>
      <c r="H4" s="12">
        <v>0</v>
      </c>
      <c r="I4" s="12">
        <v>10.0006262411279</v>
      </c>
      <c r="J4" s="9">
        <v>23.3</v>
      </c>
      <c r="K4" s="9">
        <v>9.5</v>
      </c>
      <c r="L4" s="9">
        <v>51</v>
      </c>
      <c r="M4" s="9">
        <v>11.2</v>
      </c>
      <c r="N4" s="9">
        <v>0</v>
      </c>
      <c r="O4" s="9">
        <v>10</v>
      </c>
      <c r="Q4" s="25"/>
      <c r="R4" s="15" t="s">
        <v>22</v>
      </c>
      <c r="S4" s="11">
        <f>SQRT(SUMSQ(D:D -J:J ) / COUNTA(D:D))</f>
        <v>5.5626878327012493E-4</v>
      </c>
    </row>
    <row r="5" spans="1:19" x14ac:dyDescent="0.25">
      <c r="A5" s="8" t="s">
        <v>16</v>
      </c>
      <c r="B5" s="9" t="s">
        <v>7</v>
      </c>
      <c r="C5" s="10">
        <v>46057</v>
      </c>
      <c r="D5" s="12">
        <v>24.494326677413</v>
      </c>
      <c r="E5" s="12">
        <v>9.7020918225182307</v>
      </c>
      <c r="F5" s="12">
        <v>45.013248866199</v>
      </c>
      <c r="G5" s="12">
        <v>15.100876843654</v>
      </c>
      <c r="H5" s="12">
        <v>0</v>
      </c>
      <c r="I5" s="12">
        <v>9.9997247841450605</v>
      </c>
      <c r="J5" s="9">
        <v>24.5</v>
      </c>
      <c r="K5" s="9">
        <v>9.6999999999999993</v>
      </c>
      <c r="L5" s="9">
        <v>45</v>
      </c>
      <c r="M5" s="9">
        <v>15.1</v>
      </c>
      <c r="N5" s="9">
        <v>0</v>
      </c>
      <c r="O5" s="9">
        <v>10</v>
      </c>
      <c r="Q5" s="25"/>
      <c r="R5" s="15" t="s">
        <v>23</v>
      </c>
      <c r="S5" s="11">
        <f>AVERAGE(ABS((D:D -J:J) /D:D ))</f>
        <v>2.3161782161711905E-4</v>
      </c>
    </row>
    <row r="6" spans="1:19" ht="15.75" thickBot="1" x14ac:dyDescent="0.3">
      <c r="A6" s="8" t="s">
        <v>16</v>
      </c>
      <c r="B6" s="9" t="s">
        <v>7</v>
      </c>
      <c r="C6" s="10">
        <v>46058</v>
      </c>
      <c r="D6" s="12">
        <v>25.501351098786898</v>
      </c>
      <c r="E6" s="12">
        <v>9.0986922666490297</v>
      </c>
      <c r="F6" s="12">
        <v>35.008070304073001</v>
      </c>
      <c r="G6" s="12">
        <v>17.301321289147602</v>
      </c>
      <c r="H6" s="12">
        <v>0</v>
      </c>
      <c r="I6" s="12">
        <v>9.9982923300170192</v>
      </c>
      <c r="J6" s="9">
        <v>25.5</v>
      </c>
      <c r="K6" s="9">
        <v>9.1</v>
      </c>
      <c r="L6" s="9">
        <v>35</v>
      </c>
      <c r="M6" s="9">
        <v>17.3</v>
      </c>
      <c r="N6" s="9">
        <v>0</v>
      </c>
      <c r="O6" s="9">
        <v>10</v>
      </c>
      <c r="Q6" s="26"/>
      <c r="R6" s="16" t="s">
        <v>24</v>
      </c>
      <c r="S6" s="17">
        <f>(1 -S5) * 100</f>
        <v>99.976838217838292</v>
      </c>
    </row>
    <row r="7" spans="1:19" ht="15.75" thickBot="1" x14ac:dyDescent="0.3">
      <c r="A7" s="8" t="s">
        <v>16</v>
      </c>
      <c r="B7" s="9" t="s">
        <v>7</v>
      </c>
      <c r="C7" s="10">
        <v>46059</v>
      </c>
      <c r="D7" s="12">
        <v>26.693292593542701</v>
      </c>
      <c r="E7" s="12">
        <v>9.3977857951408801</v>
      </c>
      <c r="F7" s="12">
        <v>36.994949596430402</v>
      </c>
      <c r="G7" s="12">
        <v>18.0031444559189</v>
      </c>
      <c r="H7" s="12">
        <v>0</v>
      </c>
      <c r="I7" s="12">
        <v>9.9962440019995107</v>
      </c>
      <c r="J7" s="9">
        <v>26.7</v>
      </c>
      <c r="K7" s="9">
        <v>9.4</v>
      </c>
      <c r="L7" s="9">
        <v>37</v>
      </c>
      <c r="M7" s="9">
        <v>18</v>
      </c>
      <c r="N7" s="9">
        <v>0</v>
      </c>
      <c r="O7" s="9">
        <v>10</v>
      </c>
      <c r="Q7" s="28" t="s">
        <v>25</v>
      </c>
      <c r="R7" s="29" t="s">
        <v>25</v>
      </c>
      <c r="S7" s="35"/>
    </row>
    <row r="8" spans="1:19" x14ac:dyDescent="0.25">
      <c r="A8" s="8" t="s">
        <v>16</v>
      </c>
      <c r="B8" s="9" t="s">
        <v>7</v>
      </c>
      <c r="C8" s="10">
        <v>46060</v>
      </c>
      <c r="D8" s="12">
        <v>27.404773078459499</v>
      </c>
      <c r="E8" s="12">
        <v>11.896678772144799</v>
      </c>
      <c r="F8" s="12">
        <v>35.9926542493886</v>
      </c>
      <c r="G8" s="12">
        <v>13.999109971565799</v>
      </c>
      <c r="H8" s="12">
        <v>0</v>
      </c>
      <c r="I8" s="12">
        <v>10.0025808044852</v>
      </c>
      <c r="J8" s="9">
        <v>27.4</v>
      </c>
      <c r="K8" s="9">
        <v>11.9</v>
      </c>
      <c r="L8" s="9">
        <v>36</v>
      </c>
      <c r="M8" s="9">
        <v>14</v>
      </c>
      <c r="N8" s="9">
        <v>0</v>
      </c>
      <c r="O8" s="9">
        <v>10</v>
      </c>
      <c r="Q8" s="25" t="s">
        <v>26</v>
      </c>
      <c r="R8" s="13" t="s">
        <v>21</v>
      </c>
      <c r="S8" s="11">
        <f>AVERAGE(ABS(E:E -K:K ))</f>
        <v>3.3212278552010588E-3</v>
      </c>
    </row>
    <row r="9" spans="1:19" x14ac:dyDescent="0.25">
      <c r="A9" s="8" t="s">
        <v>16</v>
      </c>
      <c r="B9" s="9" t="s">
        <v>7</v>
      </c>
      <c r="C9" s="10">
        <v>46061</v>
      </c>
      <c r="D9" s="12">
        <v>26.795531804379401</v>
      </c>
      <c r="E9" s="12">
        <v>9.5016966294022502</v>
      </c>
      <c r="F9" s="12">
        <v>34.008109376531003</v>
      </c>
      <c r="G9" s="12">
        <v>14.002378284262299</v>
      </c>
      <c r="H9" s="12">
        <v>0</v>
      </c>
      <c r="I9" s="12">
        <v>9.9970164841012092</v>
      </c>
      <c r="J9" s="9">
        <v>26.8</v>
      </c>
      <c r="K9" s="9">
        <v>9.5</v>
      </c>
      <c r="L9" s="9">
        <v>34</v>
      </c>
      <c r="M9" s="9">
        <v>14</v>
      </c>
      <c r="N9" s="9">
        <v>0</v>
      </c>
      <c r="O9" s="9">
        <v>10</v>
      </c>
      <c r="Q9" s="25"/>
      <c r="R9" s="15" t="s">
        <v>22</v>
      </c>
      <c r="S9" s="11">
        <f>SQRT(SUMSQ(E:E -K:K ) / COUNTA(E:E))</f>
        <v>2.2472405412283643E-4</v>
      </c>
    </row>
    <row r="10" spans="1:19" x14ac:dyDescent="0.25">
      <c r="A10" s="8" t="s">
        <v>16</v>
      </c>
      <c r="B10" s="9" t="s">
        <v>7</v>
      </c>
      <c r="C10" s="10">
        <v>46062</v>
      </c>
      <c r="D10" s="12">
        <v>26.297302223198599</v>
      </c>
      <c r="E10" s="12">
        <v>12.595912843611201</v>
      </c>
      <c r="F10" s="12">
        <v>37.985948135720101</v>
      </c>
      <c r="G10" s="12">
        <v>13.998644473115201</v>
      </c>
      <c r="H10" s="12">
        <v>0</v>
      </c>
      <c r="I10" s="12">
        <v>10.002159948424699</v>
      </c>
      <c r="J10" s="9">
        <v>26.3</v>
      </c>
      <c r="K10" s="9">
        <v>12.6</v>
      </c>
      <c r="L10" s="9">
        <v>38</v>
      </c>
      <c r="M10" s="9">
        <v>14</v>
      </c>
      <c r="N10" s="9">
        <v>0</v>
      </c>
      <c r="O10" s="9">
        <v>10</v>
      </c>
      <c r="Q10" s="25"/>
      <c r="R10" s="15" t="s">
        <v>23</v>
      </c>
      <c r="S10" s="11">
        <f>AVERAGE(ABS((E:E -K:K) /E:E ))</f>
        <v>3.2448274607362249E-4</v>
      </c>
    </row>
    <row r="11" spans="1:19" ht="15.75" thickBot="1" x14ac:dyDescent="0.3">
      <c r="A11" s="8" t="s">
        <v>16</v>
      </c>
      <c r="B11" s="9" t="s">
        <v>7</v>
      </c>
      <c r="C11" s="10">
        <v>46063</v>
      </c>
      <c r="D11" s="12">
        <v>27.499019327718599</v>
      </c>
      <c r="E11" s="12">
        <v>10.6014384032261</v>
      </c>
      <c r="F11" s="12">
        <v>40.997460388346802</v>
      </c>
      <c r="G11" s="12">
        <v>12.601598799889</v>
      </c>
      <c r="H11" s="12">
        <v>0</v>
      </c>
      <c r="I11" s="12">
        <v>10.000983123806501</v>
      </c>
      <c r="J11" s="9">
        <v>27.5</v>
      </c>
      <c r="K11" s="9">
        <v>10.6</v>
      </c>
      <c r="L11" s="9">
        <v>41</v>
      </c>
      <c r="M11" s="9">
        <v>12.6</v>
      </c>
      <c r="N11" s="9">
        <v>0</v>
      </c>
      <c r="O11" s="9">
        <v>10</v>
      </c>
      <c r="Q11" s="26"/>
      <c r="R11" s="16" t="s">
        <v>24</v>
      </c>
      <c r="S11" s="17">
        <f>(1 -S10) * 100</f>
        <v>99.967551725392639</v>
      </c>
    </row>
    <row r="12" spans="1:19" ht="15.75" thickBot="1" x14ac:dyDescent="0.3">
      <c r="A12" s="8" t="s">
        <v>16</v>
      </c>
      <c r="B12" s="9" t="s">
        <v>7</v>
      </c>
      <c r="C12" s="10">
        <v>46064</v>
      </c>
      <c r="D12" s="12">
        <v>27.901635244579602</v>
      </c>
      <c r="E12" s="12">
        <v>10.601886305482701</v>
      </c>
      <c r="F12" s="12">
        <v>37.989166162968999</v>
      </c>
      <c r="G12" s="12">
        <v>18.000213484164099</v>
      </c>
      <c r="H12" s="12">
        <v>0</v>
      </c>
      <c r="I12" s="12">
        <v>9.9964134537693408</v>
      </c>
      <c r="J12" s="9">
        <v>27.9</v>
      </c>
      <c r="K12" s="9">
        <v>10.6</v>
      </c>
      <c r="L12" s="9">
        <v>38</v>
      </c>
      <c r="M12" s="9">
        <v>18</v>
      </c>
      <c r="N12" s="9">
        <v>0</v>
      </c>
      <c r="O12" s="9">
        <v>10</v>
      </c>
      <c r="Q12" s="28" t="s">
        <v>27</v>
      </c>
      <c r="R12" s="29"/>
      <c r="S12" s="30"/>
    </row>
    <row r="13" spans="1:19" x14ac:dyDescent="0.25">
      <c r="A13" s="8" t="s">
        <v>16</v>
      </c>
      <c r="B13" s="9" t="s">
        <v>7</v>
      </c>
      <c r="C13" s="10">
        <v>46065</v>
      </c>
      <c r="D13" s="12">
        <v>27.8969612379037</v>
      </c>
      <c r="E13" s="12">
        <v>10.499025111938201</v>
      </c>
      <c r="F13" s="12">
        <v>32.010629832893898</v>
      </c>
      <c r="G13" s="12">
        <v>15.097542340717499</v>
      </c>
      <c r="H13" s="12">
        <v>0</v>
      </c>
      <c r="I13" s="12">
        <v>10.0003250809728</v>
      </c>
      <c r="J13" s="9">
        <v>27.9</v>
      </c>
      <c r="K13" s="9">
        <v>10.5</v>
      </c>
      <c r="L13" s="9">
        <v>32</v>
      </c>
      <c r="M13" s="9">
        <v>15.1</v>
      </c>
      <c r="N13" s="9">
        <v>0</v>
      </c>
      <c r="O13" s="9">
        <v>10</v>
      </c>
      <c r="Q13" s="25" t="s">
        <v>28</v>
      </c>
      <c r="R13" s="13" t="s">
        <v>21</v>
      </c>
      <c r="S13" s="11">
        <f>AVERAGE(ABS(F:F -L:L ))</f>
        <v>1.0629832893897628E-2</v>
      </c>
    </row>
    <row r="14" spans="1:19" x14ac:dyDescent="0.25">
      <c r="A14" s="8" t="s">
        <v>16</v>
      </c>
      <c r="B14" s="9" t="s">
        <v>7</v>
      </c>
      <c r="C14" s="10">
        <v>46066</v>
      </c>
      <c r="D14" s="12">
        <v>29.199327835614501</v>
      </c>
      <c r="E14" s="12">
        <v>11.802810710998999</v>
      </c>
      <c r="F14" s="12">
        <v>24.0003382311913</v>
      </c>
      <c r="G14" s="12">
        <v>13.0020821738972</v>
      </c>
      <c r="H14" s="12">
        <v>0</v>
      </c>
      <c r="I14" s="12">
        <v>10.001808730669699</v>
      </c>
      <c r="J14" s="9">
        <v>29.2</v>
      </c>
      <c r="K14" s="9">
        <v>11.8</v>
      </c>
      <c r="L14" s="9">
        <v>24</v>
      </c>
      <c r="M14" s="9">
        <v>13</v>
      </c>
      <c r="N14" s="9">
        <v>0</v>
      </c>
      <c r="O14" s="9">
        <v>10</v>
      </c>
      <c r="Q14" s="25"/>
      <c r="R14" s="15" t="s">
        <v>22</v>
      </c>
      <c r="S14" s="11">
        <f>SQRT(SUMSQ(F:F -L:L ) / COUNTA(F:F))</f>
        <v>4.4799815704557762E-5</v>
      </c>
    </row>
    <row r="15" spans="1:19" x14ac:dyDescent="0.25">
      <c r="A15" s="8" t="s">
        <v>16</v>
      </c>
      <c r="B15" s="9" t="s">
        <v>7</v>
      </c>
      <c r="C15" s="10">
        <v>46067</v>
      </c>
      <c r="D15" s="12">
        <v>30.595184449292599</v>
      </c>
      <c r="E15" s="12">
        <v>11.7986910154307</v>
      </c>
      <c r="F15" s="12">
        <v>32.996624832658803</v>
      </c>
      <c r="G15" s="12">
        <v>11.8992337818053</v>
      </c>
      <c r="H15" s="12">
        <v>0</v>
      </c>
      <c r="I15" s="12">
        <v>10.0001304027864</v>
      </c>
      <c r="J15" s="9">
        <v>30.6</v>
      </c>
      <c r="K15" s="9">
        <v>11.8</v>
      </c>
      <c r="L15" s="9">
        <v>33</v>
      </c>
      <c r="M15" s="9">
        <v>11.9</v>
      </c>
      <c r="N15" s="9">
        <v>0</v>
      </c>
      <c r="O15" s="9">
        <v>10</v>
      </c>
      <c r="Q15" s="25"/>
      <c r="R15" s="15" t="s">
        <v>23</v>
      </c>
      <c r="S15" s="11">
        <f>AVERAGE(ABS((E:E -K:K) /E:E ))</f>
        <v>1.1094320273229364E-4</v>
      </c>
    </row>
    <row r="16" spans="1:19" ht="15.75" thickBot="1" x14ac:dyDescent="0.3">
      <c r="A16" s="8" t="s">
        <v>16</v>
      </c>
      <c r="B16" s="9" t="s">
        <v>7</v>
      </c>
      <c r="C16" s="10">
        <v>46068</v>
      </c>
      <c r="D16" s="12">
        <v>30.2014624420693</v>
      </c>
      <c r="E16" s="12">
        <v>12.198487253717101</v>
      </c>
      <c r="F16" s="12">
        <v>33.011445570549803</v>
      </c>
      <c r="G16" s="12">
        <v>13.3012020842115</v>
      </c>
      <c r="H16" s="12">
        <v>0</v>
      </c>
      <c r="I16" s="12">
        <v>10.002361489558099</v>
      </c>
      <c r="J16" s="9">
        <v>30.2</v>
      </c>
      <c r="K16" s="9">
        <v>12.2</v>
      </c>
      <c r="L16" s="9">
        <v>33</v>
      </c>
      <c r="M16" s="9">
        <v>13.3</v>
      </c>
      <c r="N16" s="9">
        <v>0</v>
      </c>
      <c r="O16" s="9">
        <v>10</v>
      </c>
      <c r="Q16" s="26"/>
      <c r="R16" s="16" t="s">
        <v>24</v>
      </c>
      <c r="S16" s="17">
        <f>(1 -S15) * 100</f>
        <v>99.98890567972677</v>
      </c>
    </row>
    <row r="17" spans="1:19" ht="15.75" thickBot="1" x14ac:dyDescent="0.3">
      <c r="A17" s="8" t="s">
        <v>16</v>
      </c>
      <c r="B17" s="9" t="s">
        <v>7</v>
      </c>
      <c r="C17" s="10">
        <v>46069</v>
      </c>
      <c r="D17" s="12">
        <v>31.401769499975199</v>
      </c>
      <c r="E17" s="12">
        <v>12.5018827706623</v>
      </c>
      <c r="F17" s="12">
        <v>34.999927773279602</v>
      </c>
      <c r="G17" s="12">
        <v>14.4022296178037</v>
      </c>
      <c r="H17" s="12">
        <v>0</v>
      </c>
      <c r="I17" s="12">
        <v>9.9995117713656398</v>
      </c>
      <c r="J17" s="9">
        <v>31.4</v>
      </c>
      <c r="K17" s="9">
        <v>12.5</v>
      </c>
      <c r="L17" s="9">
        <v>35</v>
      </c>
      <c r="M17" s="9">
        <v>14.4</v>
      </c>
      <c r="N17" s="9">
        <v>0</v>
      </c>
      <c r="O17" s="9">
        <v>10</v>
      </c>
      <c r="Q17" s="28" t="s">
        <v>29</v>
      </c>
      <c r="R17" s="29"/>
      <c r="S17" s="30"/>
    </row>
    <row r="18" spans="1:19" x14ac:dyDescent="0.25">
      <c r="A18" s="8" t="s">
        <v>16</v>
      </c>
      <c r="B18" s="9" t="s">
        <v>7</v>
      </c>
      <c r="C18" s="10">
        <v>46070</v>
      </c>
      <c r="D18" s="12">
        <v>30.9929346980764</v>
      </c>
      <c r="E18" s="12">
        <v>13.2033529525805</v>
      </c>
      <c r="F18" s="12">
        <v>33.994513432606603</v>
      </c>
      <c r="G18" s="12">
        <v>15.100857871142701</v>
      </c>
      <c r="H18" s="12">
        <v>0</v>
      </c>
      <c r="I18" s="12">
        <v>9.9962028059473198</v>
      </c>
      <c r="J18" s="9">
        <v>31</v>
      </c>
      <c r="K18" s="9">
        <v>13.2</v>
      </c>
      <c r="L18" s="9">
        <v>34</v>
      </c>
      <c r="M18" s="9">
        <v>15.1</v>
      </c>
      <c r="N18" s="9">
        <v>0</v>
      </c>
      <c r="O18" s="9">
        <v>10</v>
      </c>
      <c r="Q18" s="24" t="s">
        <v>30</v>
      </c>
      <c r="R18" s="18" t="s">
        <v>21</v>
      </c>
      <c r="S18" s="19">
        <f>AVERAGE(ABS(G:G -M:M ))</f>
        <v>8.578711427009722E-4</v>
      </c>
    </row>
    <row r="19" spans="1:19" x14ac:dyDescent="0.25">
      <c r="A19" s="8" t="s">
        <v>16</v>
      </c>
      <c r="B19" s="9" t="s">
        <v>7</v>
      </c>
      <c r="C19" s="10">
        <v>46071</v>
      </c>
      <c r="D19" s="12">
        <v>29.907295336441301</v>
      </c>
      <c r="E19" s="12">
        <v>12.596855718199199</v>
      </c>
      <c r="F19" s="12">
        <v>36.002958237017403</v>
      </c>
      <c r="G19" s="12">
        <v>11.898389352679001</v>
      </c>
      <c r="H19" s="12">
        <v>1.4000392342552499</v>
      </c>
      <c r="I19" s="12">
        <v>10.002687840964001</v>
      </c>
      <c r="J19" s="9">
        <v>29.9</v>
      </c>
      <c r="K19" s="9">
        <v>12.6</v>
      </c>
      <c r="L19" s="9">
        <v>36</v>
      </c>
      <c r="M19" s="9">
        <v>11.9</v>
      </c>
      <c r="N19" s="9">
        <v>1.4</v>
      </c>
      <c r="O19" s="9">
        <v>10</v>
      </c>
      <c r="Q19" s="25"/>
      <c r="R19" s="15" t="s">
        <v>22</v>
      </c>
      <c r="S19" s="20">
        <f>SQRT(SUMSQ(G:G -M:M ) / COUNTA(G:G))</f>
        <v>2.1333544924843673E-4</v>
      </c>
    </row>
    <row r="20" spans="1:19" x14ac:dyDescent="0.25">
      <c r="A20" s="8" t="s">
        <v>16</v>
      </c>
      <c r="B20" s="9" t="s">
        <v>7</v>
      </c>
      <c r="C20" s="10">
        <v>46072</v>
      </c>
      <c r="D20" s="12">
        <v>30.1969080519744</v>
      </c>
      <c r="E20" s="12">
        <v>13.1022410823937</v>
      </c>
      <c r="F20" s="12">
        <v>40.986207971600898</v>
      </c>
      <c r="G20" s="12">
        <v>9.4004001732643196</v>
      </c>
      <c r="H20" s="12">
        <v>0</v>
      </c>
      <c r="I20" s="12">
        <v>9.9992716235553107</v>
      </c>
      <c r="J20" s="9">
        <v>30.2</v>
      </c>
      <c r="K20" s="9">
        <v>13.1</v>
      </c>
      <c r="L20" s="9">
        <v>41</v>
      </c>
      <c r="M20" s="9">
        <v>9.4</v>
      </c>
      <c r="N20" s="9">
        <v>0</v>
      </c>
      <c r="O20" s="9">
        <v>10</v>
      </c>
      <c r="Q20" s="25"/>
      <c r="R20" s="15" t="s">
        <v>23</v>
      </c>
      <c r="S20" s="20">
        <f>AVERAGE(ABS((G:G -M:M) /G:G ))</f>
        <v>4.2569811597747211E-5</v>
      </c>
    </row>
    <row r="21" spans="1:19" ht="15.75" thickBot="1" x14ac:dyDescent="0.3">
      <c r="A21" s="8" t="s">
        <v>16</v>
      </c>
      <c r="B21" s="9" t="s">
        <v>7</v>
      </c>
      <c r="C21" s="10">
        <v>46073</v>
      </c>
      <c r="D21" s="12">
        <v>31.803069911767299</v>
      </c>
      <c r="E21" s="12">
        <v>13.6024174607926</v>
      </c>
      <c r="F21" s="12">
        <v>32.009798381263103</v>
      </c>
      <c r="G21" s="12">
        <v>10.798278357065101</v>
      </c>
      <c r="H21" s="12">
        <v>0</v>
      </c>
      <c r="I21" s="12">
        <v>9.9972514963413595</v>
      </c>
      <c r="J21" s="9">
        <v>31.8</v>
      </c>
      <c r="K21" s="9">
        <v>13.6</v>
      </c>
      <c r="L21" s="9">
        <v>32</v>
      </c>
      <c r="M21" s="9">
        <v>10.8</v>
      </c>
      <c r="N21" s="9">
        <v>0</v>
      </c>
      <c r="O21" s="9">
        <v>10</v>
      </c>
      <c r="Q21" s="26"/>
      <c r="R21" s="16" t="s">
        <v>24</v>
      </c>
      <c r="S21" s="21">
        <f>(1 -S20) * 100</f>
        <v>99.995743018840216</v>
      </c>
    </row>
    <row r="22" spans="1:19" ht="15.75" thickBot="1" x14ac:dyDescent="0.3">
      <c r="A22" s="8" t="s">
        <v>16</v>
      </c>
      <c r="B22" s="9" t="s">
        <v>7</v>
      </c>
      <c r="C22" s="10">
        <v>46074</v>
      </c>
      <c r="D22" s="12">
        <v>31.393781168300801</v>
      </c>
      <c r="E22" s="12">
        <v>12.900192374295299</v>
      </c>
      <c r="F22" s="12">
        <v>27.992542792313898</v>
      </c>
      <c r="G22" s="12">
        <v>13.9972283448695</v>
      </c>
      <c r="H22" s="12">
        <v>0</v>
      </c>
      <c r="I22" s="12">
        <v>10.000393813317601</v>
      </c>
      <c r="J22" s="9">
        <v>31.4</v>
      </c>
      <c r="K22" s="9">
        <v>12.9</v>
      </c>
      <c r="L22" s="9">
        <v>28</v>
      </c>
      <c r="M22" s="9">
        <v>14</v>
      </c>
      <c r="N22" s="9">
        <v>0</v>
      </c>
      <c r="O22" s="9">
        <v>10</v>
      </c>
      <c r="Q22" s="28" t="s">
        <v>31</v>
      </c>
      <c r="R22" s="29"/>
      <c r="S22" s="30"/>
    </row>
    <row r="23" spans="1:19" x14ac:dyDescent="0.25">
      <c r="A23" s="8" t="s">
        <v>16</v>
      </c>
      <c r="B23" s="9" t="s">
        <v>7</v>
      </c>
      <c r="C23" s="10">
        <v>46075</v>
      </c>
      <c r="D23" s="12">
        <v>31.192387811054001</v>
      </c>
      <c r="E23" s="12">
        <v>12.596077304334001</v>
      </c>
      <c r="F23" s="12">
        <v>26.0094701838551</v>
      </c>
      <c r="G23" s="12">
        <v>10.80021052997</v>
      </c>
      <c r="H23" s="12">
        <v>0</v>
      </c>
      <c r="I23" s="12">
        <v>10.0012815790137</v>
      </c>
      <c r="J23" s="9">
        <v>31.2</v>
      </c>
      <c r="K23" s="9">
        <v>12.6</v>
      </c>
      <c r="L23" s="9">
        <v>26</v>
      </c>
      <c r="M23" s="9">
        <v>10.8</v>
      </c>
      <c r="N23" s="9">
        <v>0</v>
      </c>
      <c r="O23" s="9">
        <v>10</v>
      </c>
      <c r="Q23" s="25" t="s">
        <v>32</v>
      </c>
      <c r="R23" s="13" t="s">
        <v>21</v>
      </c>
      <c r="S23" s="19">
        <f>AVERAGE(ABS(H:H -N:N ))</f>
        <v>0</v>
      </c>
    </row>
    <row r="24" spans="1:19" x14ac:dyDescent="0.25">
      <c r="A24" s="8" t="s">
        <v>16</v>
      </c>
      <c r="B24" s="9" t="s">
        <v>7</v>
      </c>
      <c r="C24" s="10">
        <v>46076</v>
      </c>
      <c r="D24" s="12">
        <v>31.795980502589298</v>
      </c>
      <c r="E24" s="12">
        <v>13.795758122132099</v>
      </c>
      <c r="F24" s="12">
        <v>25.003227541513802</v>
      </c>
      <c r="G24" s="12">
        <v>13.300808433900499</v>
      </c>
      <c r="H24" s="12">
        <v>0</v>
      </c>
      <c r="I24" s="12">
        <v>10.003638922245299</v>
      </c>
      <c r="J24" s="9">
        <v>31.8</v>
      </c>
      <c r="K24" s="9">
        <v>13.8</v>
      </c>
      <c r="L24" s="9">
        <v>25</v>
      </c>
      <c r="M24" s="9">
        <v>13.3</v>
      </c>
      <c r="N24" s="9">
        <v>0</v>
      </c>
      <c r="O24" s="9">
        <v>10</v>
      </c>
      <c r="Q24" s="25"/>
      <c r="R24" s="15" t="s">
        <v>22</v>
      </c>
      <c r="S24" s="20">
        <f>SQRT(SUMSQ(H:H -N:N ) / COUNTA(H:H))</f>
        <v>0</v>
      </c>
    </row>
    <row r="25" spans="1:19" x14ac:dyDescent="0.25">
      <c r="A25" s="8" t="s">
        <v>16</v>
      </c>
      <c r="B25" s="9" t="s">
        <v>7</v>
      </c>
      <c r="C25" s="10">
        <v>46077</v>
      </c>
      <c r="D25" s="12">
        <v>32.696773706946502</v>
      </c>
      <c r="E25" s="12">
        <v>13.6983315800731</v>
      </c>
      <c r="F25" s="12">
        <v>24.9950807039498</v>
      </c>
      <c r="G25" s="12">
        <v>11.200950562911601</v>
      </c>
      <c r="H25" s="12">
        <v>0</v>
      </c>
      <c r="I25" s="12">
        <v>10.00043483242</v>
      </c>
      <c r="J25" s="9">
        <v>32.700000000000003</v>
      </c>
      <c r="K25" s="9">
        <v>13.7</v>
      </c>
      <c r="L25" s="9">
        <v>25</v>
      </c>
      <c r="M25" s="9">
        <v>11.2</v>
      </c>
      <c r="N25" s="9">
        <v>0</v>
      </c>
      <c r="O25" s="9">
        <v>10</v>
      </c>
      <c r="Q25" s="25"/>
      <c r="R25" s="15" t="s">
        <v>23</v>
      </c>
      <c r="S25" s="20">
        <f>AVERAGE(IF(H:H&lt;&gt;0, ABS(H:H -N:N ) /H:H ))</f>
        <v>0</v>
      </c>
    </row>
    <row r="26" spans="1:19" ht="15.75" thickBot="1" x14ac:dyDescent="0.3">
      <c r="A26" s="8" t="s">
        <v>16</v>
      </c>
      <c r="B26" s="9" t="s">
        <v>7</v>
      </c>
      <c r="C26" s="10">
        <v>46078</v>
      </c>
      <c r="D26" s="12">
        <v>32.4007930284385</v>
      </c>
      <c r="E26" s="12">
        <v>13.6036361450537</v>
      </c>
      <c r="F26" s="12">
        <v>17.9982150722917</v>
      </c>
      <c r="G26" s="12">
        <v>13.6990431903459</v>
      </c>
      <c r="H26" s="12">
        <v>0</v>
      </c>
      <c r="I26" s="12">
        <v>9.9993568004994202</v>
      </c>
      <c r="J26" s="9">
        <v>32.4</v>
      </c>
      <c r="K26" s="9">
        <v>13.6</v>
      </c>
      <c r="L26" s="9">
        <v>18</v>
      </c>
      <c r="M26" s="9">
        <v>13.7</v>
      </c>
      <c r="N26" s="9">
        <v>0</v>
      </c>
      <c r="O26" s="9">
        <v>10</v>
      </c>
      <c r="Q26" s="26"/>
      <c r="R26" s="16" t="s">
        <v>24</v>
      </c>
      <c r="S26" s="21">
        <f>(1 -S25) * 100</f>
        <v>100</v>
      </c>
    </row>
    <row r="27" spans="1:19" ht="15.75" thickBot="1" x14ac:dyDescent="0.3">
      <c r="A27" s="8" t="s">
        <v>16</v>
      </c>
      <c r="B27" s="9" t="s">
        <v>7</v>
      </c>
      <c r="C27" s="10">
        <v>46079</v>
      </c>
      <c r="D27" s="12">
        <v>32.808070844914297</v>
      </c>
      <c r="E27" s="12">
        <v>13.4992063511664</v>
      </c>
      <c r="F27" s="12">
        <v>19.0019027983783</v>
      </c>
      <c r="G27" s="12">
        <v>17.601053415609201</v>
      </c>
      <c r="H27" s="12">
        <v>0</v>
      </c>
      <c r="I27" s="12">
        <v>9.9988477814292107</v>
      </c>
      <c r="J27" s="9">
        <v>32.799999999999997</v>
      </c>
      <c r="K27" s="9">
        <v>13.5</v>
      </c>
      <c r="L27" s="9">
        <v>19</v>
      </c>
      <c r="M27" s="9">
        <v>17.600000000000001</v>
      </c>
      <c r="N27" s="9">
        <v>0</v>
      </c>
      <c r="O27" s="9">
        <v>10</v>
      </c>
      <c r="Q27" s="28" t="s">
        <v>33</v>
      </c>
      <c r="R27" s="29"/>
      <c r="S27" s="30"/>
    </row>
    <row r="28" spans="1:19" x14ac:dyDescent="0.25">
      <c r="A28" s="8" t="s">
        <v>16</v>
      </c>
      <c r="B28" s="9" t="s">
        <v>7</v>
      </c>
      <c r="C28" s="10">
        <v>46080</v>
      </c>
      <c r="D28" s="12">
        <v>34.007830113142901</v>
      </c>
      <c r="E28" s="12">
        <v>14.597402537309801</v>
      </c>
      <c r="F28" s="12">
        <v>19.993854346550801</v>
      </c>
      <c r="G28" s="12">
        <v>16.901065463151902</v>
      </c>
      <c r="H28" s="12">
        <v>0</v>
      </c>
      <c r="I28" s="12">
        <v>9.9961151479090304</v>
      </c>
      <c r="J28" s="9">
        <v>34</v>
      </c>
      <c r="K28" s="9">
        <v>14.6</v>
      </c>
      <c r="L28" s="9">
        <v>20</v>
      </c>
      <c r="M28" s="9">
        <v>16.899999999999999</v>
      </c>
      <c r="N28" s="9">
        <v>0</v>
      </c>
      <c r="O28" s="9">
        <v>10</v>
      </c>
      <c r="Q28" s="24" t="s">
        <v>34</v>
      </c>
      <c r="R28" s="18" t="s">
        <v>21</v>
      </c>
      <c r="S28" s="19">
        <f>AVERAGE(ABS(I:I -O:O ))</f>
        <v>3.8848520909695594E-3</v>
      </c>
    </row>
    <row r="29" spans="1:19" x14ac:dyDescent="0.25">
      <c r="A29" s="8" t="s">
        <v>16</v>
      </c>
      <c r="B29" s="9" t="s">
        <v>7</v>
      </c>
      <c r="C29" s="10">
        <v>46081</v>
      </c>
      <c r="D29" s="12">
        <v>34.101749315981301</v>
      </c>
      <c r="E29" s="12">
        <v>16.097779438945</v>
      </c>
      <c r="F29" s="12">
        <v>18.997446115925801</v>
      </c>
      <c r="G29" s="12">
        <v>22.296375578928998</v>
      </c>
      <c r="H29" s="12">
        <v>0</v>
      </c>
      <c r="I29" s="12">
        <v>9.9963680211361705</v>
      </c>
      <c r="J29" s="9">
        <v>34.1</v>
      </c>
      <c r="K29" s="9">
        <v>16.100000000000001</v>
      </c>
      <c r="L29" s="9">
        <v>19</v>
      </c>
      <c r="M29" s="9">
        <v>22.3</v>
      </c>
      <c r="N29" s="9">
        <v>0</v>
      </c>
      <c r="O29" s="9">
        <v>10</v>
      </c>
      <c r="Q29" s="25"/>
      <c r="R29" s="15" t="s">
        <v>22</v>
      </c>
      <c r="S29" s="20">
        <f>SQRT(SUMSQ(I:I -O:O ) / COUNTA(I:I))</f>
        <v>4.8106735253184921E-4</v>
      </c>
    </row>
    <row r="30" spans="1:19" x14ac:dyDescent="0.25">
      <c r="A30" s="9" t="s">
        <v>17</v>
      </c>
      <c r="B30" s="9" t="s">
        <v>8</v>
      </c>
      <c r="C30" s="10">
        <v>46054</v>
      </c>
      <c r="D30" s="12">
        <v>32.5076756646381</v>
      </c>
      <c r="E30" s="12">
        <v>17.496509883260501</v>
      </c>
      <c r="F30" s="12">
        <v>71.016407410211798</v>
      </c>
      <c r="G30" s="12">
        <v>24.800901657996398</v>
      </c>
      <c r="H30" s="12">
        <v>0</v>
      </c>
      <c r="I30" s="12">
        <v>9.9987039612548099</v>
      </c>
      <c r="J30" s="9">
        <v>32.5</v>
      </c>
      <c r="K30" s="9">
        <v>17.5</v>
      </c>
      <c r="L30" s="9">
        <v>71</v>
      </c>
      <c r="M30" s="9">
        <v>24.8</v>
      </c>
      <c r="N30" s="9">
        <v>0</v>
      </c>
      <c r="O30" s="9">
        <v>10</v>
      </c>
      <c r="Q30" s="25"/>
      <c r="R30" s="15" t="s">
        <v>23</v>
      </c>
      <c r="S30" s="20">
        <f>AVERAGE(ABS((I:I -O:O) /I:I ))</f>
        <v>1.2962067386056321E-4</v>
      </c>
    </row>
    <row r="31" spans="1:19" ht="15.75" thickBot="1" x14ac:dyDescent="0.3">
      <c r="A31" s="9" t="s">
        <v>17</v>
      </c>
      <c r="B31" s="9" t="s">
        <v>8</v>
      </c>
      <c r="C31" s="10">
        <v>46055</v>
      </c>
      <c r="D31" s="12">
        <v>33.201716341917802</v>
      </c>
      <c r="E31" s="12">
        <v>17.897948958875901</v>
      </c>
      <c r="F31" s="12">
        <v>70.019501680984803</v>
      </c>
      <c r="G31" s="12">
        <v>25.195127205315501</v>
      </c>
      <c r="H31" s="12">
        <v>0</v>
      </c>
      <c r="I31" s="12">
        <v>9.9967518555187205</v>
      </c>
      <c r="J31" s="9">
        <v>33.200000000000003</v>
      </c>
      <c r="K31" s="9">
        <v>17.899999999999999</v>
      </c>
      <c r="L31" s="9">
        <v>70</v>
      </c>
      <c r="M31" s="9">
        <v>25.2</v>
      </c>
      <c r="N31" s="9">
        <v>0</v>
      </c>
      <c r="O31" s="9">
        <v>10</v>
      </c>
      <c r="Q31" s="26"/>
      <c r="R31" s="16" t="s">
        <v>24</v>
      </c>
      <c r="S31" s="21">
        <f>(1 -S30) * 100</f>
        <v>99.987037932613944</v>
      </c>
    </row>
    <row r="32" spans="1:19" x14ac:dyDescent="0.25">
      <c r="A32" s="9" t="s">
        <v>17</v>
      </c>
      <c r="B32" s="9" t="s">
        <v>8</v>
      </c>
      <c r="C32" s="10">
        <v>46056</v>
      </c>
      <c r="D32" s="12">
        <v>32.594123560794102</v>
      </c>
      <c r="E32" s="12">
        <v>18.4972250918496</v>
      </c>
      <c r="F32" s="12">
        <v>68.983780000547299</v>
      </c>
      <c r="G32" s="12">
        <v>26.597089915048102</v>
      </c>
      <c r="H32" s="12">
        <v>0</v>
      </c>
      <c r="I32" s="12">
        <v>8.9966587843713306</v>
      </c>
      <c r="J32" s="9">
        <v>32.6</v>
      </c>
      <c r="K32" s="9">
        <v>18.5</v>
      </c>
      <c r="L32" s="9">
        <v>69</v>
      </c>
      <c r="M32" s="9">
        <v>26.6</v>
      </c>
      <c r="N32" s="9">
        <v>0</v>
      </c>
      <c r="O32" s="9">
        <v>9</v>
      </c>
      <c r="Q32" s="22"/>
      <c r="R32" s="22"/>
      <c r="S32" s="22"/>
    </row>
    <row r="33" spans="1:19" ht="15.75" x14ac:dyDescent="0.25">
      <c r="A33" s="9" t="s">
        <v>17</v>
      </c>
      <c r="B33" s="9" t="s">
        <v>8</v>
      </c>
      <c r="C33" s="10">
        <v>46057</v>
      </c>
      <c r="D33" s="12">
        <v>32.806293542652597</v>
      </c>
      <c r="E33" s="12">
        <v>17.498355528190402</v>
      </c>
      <c r="F33" s="12">
        <v>66.001947440974803</v>
      </c>
      <c r="G33" s="12">
        <v>20.497329804717801</v>
      </c>
      <c r="H33" s="12">
        <v>0</v>
      </c>
      <c r="I33" s="12">
        <v>10.0003411570776</v>
      </c>
      <c r="J33" s="9">
        <v>32.799999999999997</v>
      </c>
      <c r="K33" s="9">
        <v>17.5</v>
      </c>
      <c r="L33" s="9">
        <v>66</v>
      </c>
      <c r="M33" s="9">
        <v>20.5</v>
      </c>
      <c r="N33" s="9">
        <v>0</v>
      </c>
      <c r="O33" s="9">
        <v>10</v>
      </c>
      <c r="Q33" s="27" t="s">
        <v>35</v>
      </c>
      <c r="R33" s="27"/>
      <c r="S33" s="23">
        <f>AVERAGE(S31,S26,S21,S16,S11,S6)</f>
        <v>99.98601276240197</v>
      </c>
    </row>
    <row r="34" spans="1:19" x14ac:dyDescent="0.25">
      <c r="A34" s="9" t="s">
        <v>17</v>
      </c>
      <c r="B34" s="9" t="s">
        <v>8</v>
      </c>
      <c r="C34" s="10">
        <v>46058</v>
      </c>
      <c r="D34" s="12">
        <v>33.003597991015198</v>
      </c>
      <c r="E34" s="12">
        <v>17.400487350171598</v>
      </c>
      <c r="F34" s="12">
        <v>66.019606519346198</v>
      </c>
      <c r="G34" s="12">
        <v>21.199039515736601</v>
      </c>
      <c r="H34" s="12">
        <v>0</v>
      </c>
      <c r="I34" s="12">
        <v>10.0007266660845</v>
      </c>
      <c r="J34" s="9">
        <v>33</v>
      </c>
      <c r="K34" s="9">
        <v>17.399999999999999</v>
      </c>
      <c r="L34" s="9">
        <v>66</v>
      </c>
      <c r="M34" s="9">
        <v>21.2</v>
      </c>
      <c r="N34" s="9">
        <v>0</v>
      </c>
      <c r="O34" s="9">
        <v>10</v>
      </c>
    </row>
    <row r="35" spans="1:19" x14ac:dyDescent="0.25">
      <c r="A35" s="9" t="s">
        <v>17</v>
      </c>
      <c r="B35" s="9" t="s">
        <v>8</v>
      </c>
      <c r="C35" s="10">
        <v>46059</v>
      </c>
      <c r="D35" s="12">
        <v>33.9083472906498</v>
      </c>
      <c r="E35" s="12">
        <v>17.703508869582901</v>
      </c>
      <c r="F35" s="12">
        <v>63.981282492377296</v>
      </c>
      <c r="G35" s="12">
        <v>18.697288656662199</v>
      </c>
      <c r="H35" s="12">
        <v>0</v>
      </c>
      <c r="I35" s="12">
        <v>9.9962987855099907</v>
      </c>
      <c r="J35" s="9">
        <v>33.9</v>
      </c>
      <c r="K35" s="9">
        <v>17.7</v>
      </c>
      <c r="L35" s="9">
        <v>64</v>
      </c>
      <c r="M35" s="9">
        <v>18.7</v>
      </c>
      <c r="N35" s="9">
        <v>0</v>
      </c>
      <c r="O35" s="9">
        <v>10</v>
      </c>
    </row>
    <row r="36" spans="1:19" x14ac:dyDescent="0.25">
      <c r="A36" s="9" t="s">
        <v>17</v>
      </c>
      <c r="B36" s="9" t="s">
        <v>8</v>
      </c>
      <c r="C36" s="10">
        <v>46060</v>
      </c>
      <c r="D36" s="12">
        <v>34.494799666442802</v>
      </c>
      <c r="E36" s="12">
        <v>17.805685281381201</v>
      </c>
      <c r="F36" s="12">
        <v>61.996610512171102</v>
      </c>
      <c r="G36" s="12">
        <v>11.4982219781977</v>
      </c>
      <c r="H36" s="12">
        <v>0</v>
      </c>
      <c r="I36" s="12">
        <v>9.9988815251312904</v>
      </c>
      <c r="J36" s="9">
        <v>34.5</v>
      </c>
      <c r="K36" s="9">
        <v>17.8</v>
      </c>
      <c r="L36" s="9">
        <v>62</v>
      </c>
      <c r="M36" s="9">
        <v>11.5</v>
      </c>
      <c r="N36" s="9">
        <v>0</v>
      </c>
      <c r="O36" s="9">
        <v>10</v>
      </c>
    </row>
    <row r="37" spans="1:19" x14ac:dyDescent="0.25">
      <c r="A37" s="9" t="s">
        <v>17</v>
      </c>
      <c r="B37" s="9" t="s">
        <v>8</v>
      </c>
      <c r="C37" s="10">
        <v>46061</v>
      </c>
      <c r="D37" s="12">
        <v>34.094342945143801</v>
      </c>
      <c r="E37" s="12">
        <v>17.296580784526501</v>
      </c>
      <c r="F37" s="12">
        <v>61.016503424183902</v>
      </c>
      <c r="G37" s="12">
        <v>16.9025508140288</v>
      </c>
      <c r="H37" s="12">
        <v>0</v>
      </c>
      <c r="I37" s="12">
        <v>10.000177946080401</v>
      </c>
      <c r="J37" s="9">
        <v>34.1</v>
      </c>
      <c r="K37" s="9">
        <v>17.3</v>
      </c>
      <c r="L37" s="9">
        <v>61</v>
      </c>
      <c r="M37" s="9">
        <v>16.899999999999999</v>
      </c>
      <c r="N37" s="9">
        <v>0</v>
      </c>
      <c r="O37" s="9">
        <v>10</v>
      </c>
    </row>
    <row r="38" spans="1:19" x14ac:dyDescent="0.25">
      <c r="A38" s="9" t="s">
        <v>17</v>
      </c>
      <c r="B38" s="9" t="s">
        <v>8</v>
      </c>
      <c r="C38" s="10">
        <v>46062</v>
      </c>
      <c r="D38" s="12">
        <v>34.000441060585899</v>
      </c>
      <c r="E38" s="12">
        <v>17.403600802928899</v>
      </c>
      <c r="F38" s="12">
        <v>66.000531991477501</v>
      </c>
      <c r="G38" s="12">
        <v>24.501567843651099</v>
      </c>
      <c r="H38" s="12">
        <v>0</v>
      </c>
      <c r="I38" s="12">
        <v>9.9977265682199707</v>
      </c>
      <c r="J38" s="9">
        <v>34</v>
      </c>
      <c r="K38" s="9">
        <v>17.399999999999999</v>
      </c>
      <c r="L38" s="9">
        <v>66</v>
      </c>
      <c r="M38" s="9">
        <v>24.5</v>
      </c>
      <c r="N38" s="9">
        <v>0</v>
      </c>
      <c r="O38" s="9">
        <v>10</v>
      </c>
    </row>
    <row r="39" spans="1:19" x14ac:dyDescent="0.25">
      <c r="A39" s="9" t="s">
        <v>17</v>
      </c>
      <c r="B39" s="9" t="s">
        <v>8</v>
      </c>
      <c r="C39" s="10">
        <v>46063</v>
      </c>
      <c r="D39" s="12">
        <v>33.096378994699201</v>
      </c>
      <c r="E39" s="12">
        <v>17.802674070899702</v>
      </c>
      <c r="F39" s="12">
        <v>65.986244336618299</v>
      </c>
      <c r="G39" s="12">
        <v>20.200446022557699</v>
      </c>
      <c r="H39" s="12">
        <v>0</v>
      </c>
      <c r="I39" s="12">
        <v>9.99668277971994</v>
      </c>
      <c r="J39" s="9">
        <v>33.1</v>
      </c>
      <c r="K39" s="9">
        <v>17.8</v>
      </c>
      <c r="L39" s="9">
        <v>66</v>
      </c>
      <c r="M39" s="9">
        <v>20.2</v>
      </c>
      <c r="N39" s="9">
        <v>0</v>
      </c>
      <c r="O39" s="9">
        <v>10</v>
      </c>
    </row>
    <row r="40" spans="1:19" x14ac:dyDescent="0.25">
      <c r="A40" s="9" t="s">
        <v>17</v>
      </c>
      <c r="B40" s="9" t="s">
        <v>8</v>
      </c>
      <c r="C40" s="10">
        <v>46064</v>
      </c>
      <c r="D40" s="12">
        <v>33.793615003664698</v>
      </c>
      <c r="E40" s="12">
        <v>17.695054147260201</v>
      </c>
      <c r="F40" s="12">
        <v>64.992083739605903</v>
      </c>
      <c r="G40" s="12">
        <v>24.497470152450799</v>
      </c>
      <c r="H40" s="12">
        <v>0</v>
      </c>
      <c r="I40" s="12">
        <v>10.0002508370525</v>
      </c>
      <c r="J40" s="9">
        <v>33.799999999999997</v>
      </c>
      <c r="K40" s="9">
        <v>17.7</v>
      </c>
      <c r="L40" s="9">
        <v>65</v>
      </c>
      <c r="M40" s="9">
        <v>24.5</v>
      </c>
      <c r="N40" s="9">
        <v>0</v>
      </c>
      <c r="O40" s="9">
        <v>10</v>
      </c>
    </row>
    <row r="41" spans="1:19" x14ac:dyDescent="0.25">
      <c r="A41" s="9" t="s">
        <v>17</v>
      </c>
      <c r="B41" s="9" t="s">
        <v>8</v>
      </c>
      <c r="C41" s="10">
        <v>46065</v>
      </c>
      <c r="D41" s="12">
        <v>34.297598094681803</v>
      </c>
      <c r="E41" s="12">
        <v>16.7957665697312</v>
      </c>
      <c r="F41" s="12">
        <v>59.992044131940901</v>
      </c>
      <c r="G41" s="12">
        <v>23.0036543849731</v>
      </c>
      <c r="H41" s="12">
        <v>0</v>
      </c>
      <c r="I41" s="12">
        <v>10.001099439211901</v>
      </c>
      <c r="J41" s="9">
        <v>34.299999999999997</v>
      </c>
      <c r="K41" s="9">
        <v>16.8</v>
      </c>
      <c r="L41" s="9">
        <v>60</v>
      </c>
      <c r="M41" s="9">
        <v>23</v>
      </c>
      <c r="N41" s="9">
        <v>0</v>
      </c>
      <c r="O41" s="9">
        <v>10</v>
      </c>
    </row>
    <row r="42" spans="1:19" x14ac:dyDescent="0.25">
      <c r="A42" s="9" t="s">
        <v>17</v>
      </c>
      <c r="B42" s="9" t="s">
        <v>8</v>
      </c>
      <c r="C42" s="10">
        <v>46066</v>
      </c>
      <c r="D42" s="12">
        <v>34.8052002406911</v>
      </c>
      <c r="E42" s="12">
        <v>16.501334578924698</v>
      </c>
      <c r="F42" s="12">
        <v>60.009135853150198</v>
      </c>
      <c r="G42" s="12">
        <v>23.001224533406901</v>
      </c>
      <c r="H42" s="12">
        <v>0</v>
      </c>
      <c r="I42" s="12">
        <v>10.0038068166357</v>
      </c>
      <c r="J42" s="9">
        <v>34.799999999999997</v>
      </c>
      <c r="K42" s="9">
        <v>16.5</v>
      </c>
      <c r="L42" s="9">
        <v>60</v>
      </c>
      <c r="M42" s="9">
        <v>23</v>
      </c>
      <c r="N42" s="9">
        <v>0</v>
      </c>
      <c r="O42" s="9">
        <v>10</v>
      </c>
    </row>
    <row r="43" spans="1:19" x14ac:dyDescent="0.25">
      <c r="A43" s="9" t="s">
        <v>17</v>
      </c>
      <c r="B43" s="9" t="s">
        <v>8</v>
      </c>
      <c r="C43" s="10">
        <v>46067</v>
      </c>
      <c r="D43" s="12">
        <v>35.600265534907898</v>
      </c>
      <c r="E43" s="12">
        <v>17.1950755415779</v>
      </c>
      <c r="F43" s="12">
        <v>62.0219378668465</v>
      </c>
      <c r="G43" s="12">
        <v>19.3988298662989</v>
      </c>
      <c r="H43" s="12">
        <v>0</v>
      </c>
      <c r="I43" s="12">
        <v>9.9985836517835303</v>
      </c>
      <c r="J43" s="9">
        <v>35.6</v>
      </c>
      <c r="K43" s="9">
        <v>17.2</v>
      </c>
      <c r="L43" s="9">
        <v>62</v>
      </c>
      <c r="M43" s="9">
        <v>19.399999999999999</v>
      </c>
      <c r="N43" s="9">
        <v>0</v>
      </c>
      <c r="O43" s="9">
        <v>10</v>
      </c>
    </row>
    <row r="44" spans="1:19" x14ac:dyDescent="0.25">
      <c r="A44" s="9" t="s">
        <v>17</v>
      </c>
      <c r="B44" s="9" t="s">
        <v>8</v>
      </c>
      <c r="C44" s="10">
        <v>46068</v>
      </c>
      <c r="D44" s="12">
        <v>35.791491772582198</v>
      </c>
      <c r="E44" s="12">
        <v>17.797958700614601</v>
      </c>
      <c r="F44" s="12">
        <v>61.988457876755803</v>
      </c>
      <c r="G44" s="12">
        <v>18.4029227315132</v>
      </c>
      <c r="H44" s="12">
        <v>0</v>
      </c>
      <c r="I44" s="12">
        <v>9.9981666580100903</v>
      </c>
      <c r="J44" s="9">
        <v>35.799999999999997</v>
      </c>
      <c r="K44" s="9">
        <v>17.8</v>
      </c>
      <c r="L44" s="9">
        <v>62</v>
      </c>
      <c r="M44" s="9">
        <v>18.399999999999999</v>
      </c>
      <c r="N44" s="9">
        <v>0</v>
      </c>
      <c r="O44" s="9">
        <v>10</v>
      </c>
    </row>
    <row r="45" spans="1:19" x14ac:dyDescent="0.25">
      <c r="A45" s="9" t="s">
        <v>17</v>
      </c>
      <c r="B45" s="9" t="s">
        <v>8</v>
      </c>
      <c r="C45" s="10">
        <v>46069</v>
      </c>
      <c r="D45" s="12">
        <v>35.793819296141002</v>
      </c>
      <c r="E45" s="12">
        <v>18.701687445012599</v>
      </c>
      <c r="F45" s="12">
        <v>64.990292817603503</v>
      </c>
      <c r="G45" s="12">
        <v>27.4030674359825</v>
      </c>
      <c r="H45" s="12">
        <v>0</v>
      </c>
      <c r="I45" s="12">
        <v>9.6967288215192102</v>
      </c>
      <c r="J45" s="9">
        <v>35.799999999999997</v>
      </c>
      <c r="K45" s="9">
        <v>18.7</v>
      </c>
      <c r="L45" s="9">
        <v>65</v>
      </c>
      <c r="M45" s="9">
        <v>27.4</v>
      </c>
      <c r="N45" s="9">
        <v>0</v>
      </c>
      <c r="O45" s="9">
        <v>9.6999999999999993</v>
      </c>
    </row>
    <row r="46" spans="1:19" x14ac:dyDescent="0.25">
      <c r="A46" s="9" t="s">
        <v>17</v>
      </c>
      <c r="B46" s="9" t="s">
        <v>8</v>
      </c>
      <c r="C46" s="10">
        <v>46070</v>
      </c>
      <c r="D46" s="12">
        <v>35.2082796039575</v>
      </c>
      <c r="E46" s="12">
        <v>18.399664623032599</v>
      </c>
      <c r="F46" s="12">
        <v>65.977075903894004</v>
      </c>
      <c r="G46" s="12">
        <v>26.995508711621898</v>
      </c>
      <c r="H46" s="12">
        <v>0</v>
      </c>
      <c r="I46" s="12">
        <v>10.0037011873174</v>
      </c>
      <c r="J46" s="9">
        <v>35.200000000000003</v>
      </c>
      <c r="K46" s="9">
        <v>18.399999999999999</v>
      </c>
      <c r="L46" s="9">
        <v>66</v>
      </c>
      <c r="M46" s="9">
        <v>27</v>
      </c>
      <c r="N46" s="9">
        <v>0</v>
      </c>
      <c r="O46" s="9">
        <v>10</v>
      </c>
    </row>
    <row r="47" spans="1:19" x14ac:dyDescent="0.25">
      <c r="A47" s="9" t="s">
        <v>17</v>
      </c>
      <c r="B47" s="9" t="s">
        <v>8</v>
      </c>
      <c r="C47" s="10">
        <v>46071</v>
      </c>
      <c r="D47" s="12">
        <v>35.305704487427498</v>
      </c>
      <c r="E47" s="12">
        <v>18.502587938737701</v>
      </c>
      <c r="F47" s="12">
        <v>64.000128593114894</v>
      </c>
      <c r="G47" s="12">
        <v>26.304192790063301</v>
      </c>
      <c r="H47" s="12">
        <v>0</v>
      </c>
      <c r="I47" s="12">
        <v>10.0015677936487</v>
      </c>
      <c r="J47" s="9">
        <v>35.299999999999997</v>
      </c>
      <c r="K47" s="9">
        <v>18.5</v>
      </c>
      <c r="L47" s="9">
        <v>64</v>
      </c>
      <c r="M47" s="9">
        <v>26.3</v>
      </c>
      <c r="N47" s="9">
        <v>0</v>
      </c>
      <c r="O47" s="9">
        <v>10</v>
      </c>
    </row>
    <row r="48" spans="1:19" x14ac:dyDescent="0.25">
      <c r="A48" s="9" t="s">
        <v>17</v>
      </c>
      <c r="B48" s="9" t="s">
        <v>8</v>
      </c>
      <c r="C48" s="10">
        <v>46072</v>
      </c>
      <c r="D48" s="12">
        <v>35.492515896664699</v>
      </c>
      <c r="E48" s="12">
        <v>18.3007356205013</v>
      </c>
      <c r="F48" s="12">
        <v>62.989541045435097</v>
      </c>
      <c r="G48" s="12">
        <v>25.594974177808499</v>
      </c>
      <c r="H48" s="12">
        <v>0</v>
      </c>
      <c r="I48" s="12">
        <v>9.9973863545605592</v>
      </c>
      <c r="J48" s="9">
        <v>35.5</v>
      </c>
      <c r="K48" s="9">
        <v>18.3</v>
      </c>
      <c r="L48" s="9">
        <v>63</v>
      </c>
      <c r="M48" s="9">
        <v>25.6</v>
      </c>
      <c r="N48" s="9">
        <v>0</v>
      </c>
      <c r="O48" s="9">
        <v>10</v>
      </c>
    </row>
    <row r="49" spans="1:15" x14ac:dyDescent="0.25">
      <c r="A49" s="9" t="s">
        <v>17</v>
      </c>
      <c r="B49" s="9" t="s">
        <v>8</v>
      </c>
      <c r="C49" s="10">
        <v>46073</v>
      </c>
      <c r="D49" s="12">
        <v>35.898874172651198</v>
      </c>
      <c r="E49" s="12">
        <v>17.4999287734462</v>
      </c>
      <c r="F49" s="12">
        <v>63.987498970752</v>
      </c>
      <c r="G49" s="12">
        <v>23.401530376558799</v>
      </c>
      <c r="H49" s="12">
        <v>0</v>
      </c>
      <c r="I49" s="12">
        <v>9.9980019431853098</v>
      </c>
      <c r="J49" s="9">
        <v>35.9</v>
      </c>
      <c r="K49" s="9">
        <v>17.5</v>
      </c>
      <c r="L49" s="9">
        <v>64</v>
      </c>
      <c r="M49" s="9">
        <v>23.4</v>
      </c>
      <c r="N49" s="9">
        <v>0</v>
      </c>
      <c r="O49" s="9">
        <v>10</v>
      </c>
    </row>
    <row r="50" spans="1:15" x14ac:dyDescent="0.25">
      <c r="A50" s="9" t="s">
        <v>17</v>
      </c>
      <c r="B50" s="9" t="s">
        <v>8</v>
      </c>
      <c r="C50" s="10">
        <v>46074</v>
      </c>
      <c r="D50" s="12">
        <v>36.3999080063127</v>
      </c>
      <c r="E50" s="12">
        <v>20.1990398315424</v>
      </c>
      <c r="F50" s="12">
        <v>70.999438359484699</v>
      </c>
      <c r="G50" s="12">
        <v>31.9956583430581</v>
      </c>
      <c r="H50" s="12">
        <v>0</v>
      </c>
      <c r="I50" s="12">
        <v>7.7013219108838298</v>
      </c>
      <c r="J50" s="9">
        <v>36.4</v>
      </c>
      <c r="K50" s="9">
        <v>20.2</v>
      </c>
      <c r="L50" s="9">
        <v>71</v>
      </c>
      <c r="M50" s="9">
        <v>32</v>
      </c>
      <c r="N50" s="9">
        <v>0</v>
      </c>
      <c r="O50" s="9">
        <v>7.7</v>
      </c>
    </row>
    <row r="51" spans="1:15" x14ac:dyDescent="0.25">
      <c r="A51" s="9" t="s">
        <v>17</v>
      </c>
      <c r="B51" s="9" t="s">
        <v>8</v>
      </c>
      <c r="C51" s="10">
        <v>46075</v>
      </c>
      <c r="D51" s="12">
        <v>37.107957352344499</v>
      </c>
      <c r="E51" s="12">
        <v>20.394752646232501</v>
      </c>
      <c r="F51" s="12">
        <v>66.987038277393395</v>
      </c>
      <c r="G51" s="12">
        <v>24.501880572937299</v>
      </c>
      <c r="H51" s="12">
        <v>0</v>
      </c>
      <c r="I51" s="12">
        <v>9.2983627081932791</v>
      </c>
      <c r="J51" s="9">
        <v>37.1</v>
      </c>
      <c r="K51" s="9">
        <v>20.399999999999999</v>
      </c>
      <c r="L51" s="9">
        <v>67</v>
      </c>
      <c r="M51" s="9">
        <v>24.5</v>
      </c>
      <c r="N51" s="9">
        <v>0</v>
      </c>
      <c r="O51" s="9">
        <v>9.3000000000000007</v>
      </c>
    </row>
    <row r="52" spans="1:15" x14ac:dyDescent="0.25">
      <c r="A52" s="9" t="s">
        <v>17</v>
      </c>
      <c r="B52" s="9" t="s">
        <v>8</v>
      </c>
      <c r="C52" s="10">
        <v>46076</v>
      </c>
      <c r="D52" s="12">
        <v>36.903142465881302</v>
      </c>
      <c r="E52" s="12">
        <v>21.1018881383485</v>
      </c>
      <c r="F52" s="12">
        <v>67.013146385670197</v>
      </c>
      <c r="G52" s="12">
        <v>20.897694891427001</v>
      </c>
      <c r="H52" s="12">
        <v>0</v>
      </c>
      <c r="I52" s="12">
        <v>8.0015225402668495</v>
      </c>
      <c r="J52" s="9">
        <v>36.9</v>
      </c>
      <c r="K52" s="9">
        <v>21.1</v>
      </c>
      <c r="L52" s="9">
        <v>67</v>
      </c>
      <c r="M52" s="9">
        <v>20.9</v>
      </c>
      <c r="N52" s="9">
        <v>0</v>
      </c>
      <c r="O52" s="9">
        <v>8</v>
      </c>
    </row>
    <row r="53" spans="1:15" x14ac:dyDescent="0.25">
      <c r="A53" s="9" t="s">
        <v>17</v>
      </c>
      <c r="B53" s="9" t="s">
        <v>8</v>
      </c>
      <c r="C53" s="10">
        <v>46077</v>
      </c>
      <c r="D53" s="12">
        <v>34.700364892815401</v>
      </c>
      <c r="E53" s="12">
        <v>21.1001186320788</v>
      </c>
      <c r="F53" s="12">
        <v>73.012494845086493</v>
      </c>
      <c r="G53" s="12">
        <v>17.9981081934299</v>
      </c>
      <c r="H53" s="12">
        <v>0.20002480907157399</v>
      </c>
      <c r="I53" s="12">
        <v>8.0007150127759008</v>
      </c>
      <c r="J53" s="9">
        <v>34.700000000000003</v>
      </c>
      <c r="K53" s="9">
        <v>21.1</v>
      </c>
      <c r="L53" s="9">
        <v>73</v>
      </c>
      <c r="M53" s="9">
        <v>18</v>
      </c>
      <c r="N53" s="9">
        <v>0.2</v>
      </c>
      <c r="O53" s="9">
        <v>8</v>
      </c>
    </row>
    <row r="54" spans="1:15" x14ac:dyDescent="0.25">
      <c r="A54" s="9" t="s">
        <v>17</v>
      </c>
      <c r="B54" s="9" t="s">
        <v>8</v>
      </c>
      <c r="C54" s="10">
        <v>46078</v>
      </c>
      <c r="D54" s="12">
        <v>36.493972526316298</v>
      </c>
      <c r="E54" s="12">
        <v>20.496628481897499</v>
      </c>
      <c r="F54" s="12">
        <v>68.006747597360203</v>
      </c>
      <c r="G54" s="12">
        <v>17.601735299491999</v>
      </c>
      <c r="H54" s="12">
        <v>0.100016529622102</v>
      </c>
      <c r="I54" s="12">
        <v>9.69804239247852</v>
      </c>
      <c r="J54" s="9">
        <v>36.5</v>
      </c>
      <c r="K54" s="9">
        <v>20.5</v>
      </c>
      <c r="L54" s="9">
        <v>68</v>
      </c>
      <c r="M54" s="9">
        <v>17.600000000000001</v>
      </c>
      <c r="N54" s="9">
        <v>0.1</v>
      </c>
      <c r="O54" s="9">
        <v>9.6999999999999993</v>
      </c>
    </row>
    <row r="55" spans="1:15" x14ac:dyDescent="0.25">
      <c r="A55" s="9" t="s">
        <v>17</v>
      </c>
      <c r="B55" s="9" t="s">
        <v>8</v>
      </c>
      <c r="C55" s="10">
        <v>46079</v>
      </c>
      <c r="D55" s="12">
        <v>35.905175688619899</v>
      </c>
      <c r="E55" s="12">
        <v>20.803486944175098</v>
      </c>
      <c r="F55" s="12">
        <v>63.001690353822497</v>
      </c>
      <c r="G55" s="12">
        <v>19.802765849411099</v>
      </c>
      <c r="H55" s="12">
        <v>0</v>
      </c>
      <c r="I55" s="12">
        <v>10.0020627688837</v>
      </c>
      <c r="J55" s="9">
        <v>35.9</v>
      </c>
      <c r="K55" s="9">
        <v>20.8</v>
      </c>
      <c r="L55" s="9">
        <v>63</v>
      </c>
      <c r="M55" s="9">
        <v>19.8</v>
      </c>
      <c r="N55" s="9">
        <v>0</v>
      </c>
      <c r="O55" s="9">
        <v>10</v>
      </c>
    </row>
    <row r="56" spans="1:15" x14ac:dyDescent="0.25">
      <c r="A56" s="9" t="s">
        <v>17</v>
      </c>
      <c r="B56" s="9" t="s">
        <v>8</v>
      </c>
      <c r="C56" s="10">
        <v>46080</v>
      </c>
      <c r="D56" s="12">
        <v>37.307716979529502</v>
      </c>
      <c r="E56" s="12">
        <v>20.094422226298999</v>
      </c>
      <c r="F56" s="12">
        <v>59.014837135429801</v>
      </c>
      <c r="G56" s="12">
        <v>23.800650297903701</v>
      </c>
      <c r="H56" s="12">
        <v>0</v>
      </c>
      <c r="I56" s="12">
        <v>9.9969285811240507</v>
      </c>
      <c r="J56" s="9">
        <v>37.299999999999997</v>
      </c>
      <c r="K56" s="9">
        <v>20.100000000000001</v>
      </c>
      <c r="L56" s="9">
        <v>59</v>
      </c>
      <c r="M56" s="9">
        <v>23.8</v>
      </c>
      <c r="N56" s="9">
        <v>0</v>
      </c>
      <c r="O56" s="9">
        <v>10</v>
      </c>
    </row>
    <row r="57" spans="1:15" x14ac:dyDescent="0.25">
      <c r="A57" s="9" t="s">
        <v>17</v>
      </c>
      <c r="B57" s="9" t="s">
        <v>8</v>
      </c>
      <c r="C57" s="10">
        <v>46081</v>
      </c>
      <c r="D57" s="12">
        <v>36.508068766618997</v>
      </c>
      <c r="E57" s="12">
        <v>20.295488551638101</v>
      </c>
      <c r="F57" s="12">
        <v>62.985187999616301</v>
      </c>
      <c r="G57" s="12">
        <v>25.598645409823298</v>
      </c>
      <c r="H57" s="12">
        <v>0</v>
      </c>
      <c r="I57" s="12">
        <v>9.9963258304185505</v>
      </c>
      <c r="J57" s="9">
        <v>36.5</v>
      </c>
      <c r="K57" s="9">
        <v>20.3</v>
      </c>
      <c r="L57" s="9">
        <v>63</v>
      </c>
      <c r="M57" s="9">
        <v>25.6</v>
      </c>
      <c r="N57" s="9">
        <v>0</v>
      </c>
      <c r="O57" s="9">
        <v>10</v>
      </c>
    </row>
  </sheetData>
  <mergeCells count="14">
    <mergeCell ref="Q12:S12"/>
    <mergeCell ref="Q1:S1"/>
    <mergeCell ref="Q2:S2"/>
    <mergeCell ref="Q3:Q6"/>
    <mergeCell ref="Q7:S7"/>
    <mergeCell ref="Q8:Q11"/>
    <mergeCell ref="Q28:Q31"/>
    <mergeCell ref="Q33:R33"/>
    <mergeCell ref="Q13:Q16"/>
    <mergeCell ref="Q17:S17"/>
    <mergeCell ref="Q18:Q21"/>
    <mergeCell ref="Q22:S22"/>
    <mergeCell ref="Q23:Q26"/>
    <mergeCell ref="Q27:S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Assessment - Feb 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ML897</cp:lastModifiedBy>
  <dcterms:created xsi:type="dcterms:W3CDTF">2026-03-05T05:52:57Z</dcterms:created>
  <dcterms:modified xsi:type="dcterms:W3CDTF">2026-04-14T05:00:14Z</dcterms:modified>
</cp:coreProperties>
</file>