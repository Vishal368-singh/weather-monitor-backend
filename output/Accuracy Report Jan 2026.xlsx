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FOR DATA SHARING - Z.127\VISHAL\IndusWeather\"/>
    </mc:Choice>
  </mc:AlternateContent>
  <bookViews>
    <workbookView xWindow="0" yWindow="0" windowWidth="20490" windowHeight="7155"/>
  </bookViews>
  <sheets>
    <sheet name="Accuracy Assessment - Jan 2026" sheetId="1" r:id="rId1"/>
  </sheets>
  <definedNames>
    <definedName name="_xlnm._FilterDatabase" localSheetId="0" hidden="1">'Accuracy Assessment - Jan 2026'!$A$1:$O$63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33" i="1" l="1"/>
  <c r="S25" i="1" l="1"/>
  <c r="S26" i="1" l="1"/>
  <c r="S30" i="1"/>
  <c r="S31" i="1" s="1"/>
  <c r="S29" i="1"/>
  <c r="S28" i="1"/>
  <c r="S24" i="1"/>
  <c r="S23" i="1"/>
  <c r="S20" i="1"/>
  <c r="S21" i="1" s="1"/>
  <c r="S19" i="1"/>
  <c r="S18" i="1"/>
  <c r="S14" i="1"/>
  <c r="S13" i="1"/>
  <c r="S15" i="1"/>
  <c r="S16" i="1" s="1"/>
  <c r="S10" i="1"/>
  <c r="S11" i="1" s="1"/>
  <c r="S9" i="1"/>
  <c r="S8" i="1"/>
  <c r="S5" i="1"/>
  <c r="S6" i="1" s="1"/>
  <c r="S4" i="1"/>
  <c r="S3" i="1"/>
</calcChain>
</file>

<file path=xl/sharedStrings.xml><?xml version="1.0" encoding="utf-8"?>
<sst xmlns="http://schemas.openxmlformats.org/spreadsheetml/2006/main" count="178" uniqueCount="37">
  <si>
    <t>T_Max_Obs</t>
  </si>
  <si>
    <t>T_Min_Obs</t>
  </si>
  <si>
    <t>H_Avg_Obs</t>
  </si>
  <si>
    <t>Win_M_Obs</t>
  </si>
  <si>
    <t>Rain_T_Obs</t>
  </si>
  <si>
    <t>V_Avg_Obs</t>
  </si>
  <si>
    <t>T_Max_Fst</t>
  </si>
  <si>
    <t>T_Min_Fst</t>
  </si>
  <si>
    <t>H_Avg_Fst</t>
  </si>
  <si>
    <t>Win_M_Fst</t>
  </si>
  <si>
    <t>Rain_T_Fst</t>
  </si>
  <si>
    <t>V_Avg_Fst</t>
  </si>
  <si>
    <t>Maximum Temperature</t>
  </si>
  <si>
    <t>T_Max</t>
  </si>
  <si>
    <t>Mean Absolute Error (MAE)</t>
  </si>
  <si>
    <t>Root Mean Square Error (RMSE)</t>
  </si>
  <si>
    <t>Mean Absolute % Error (MAPE)</t>
  </si>
  <si>
    <t>Accuracy %</t>
  </si>
  <si>
    <t>Minimum Temperature</t>
  </si>
  <si>
    <t>T_Min</t>
  </si>
  <si>
    <t>Average Relative Humidity</t>
  </si>
  <si>
    <t>H_Avg</t>
  </si>
  <si>
    <t>Win_M</t>
  </si>
  <si>
    <t>Rain_T</t>
  </si>
  <si>
    <t>V_Avg</t>
  </si>
  <si>
    <t>Upper North (Haryana)</t>
  </si>
  <si>
    <t>Tamil Nadu</t>
  </si>
  <si>
    <t>District</t>
  </si>
  <si>
    <t>Ambala</t>
  </si>
  <si>
    <t>Cuddalore</t>
  </si>
  <si>
    <t>Date</t>
  </si>
  <si>
    <t>Rainfall</t>
  </si>
  <si>
    <t>Wind Speed</t>
  </si>
  <si>
    <t>Forecast Accuracy</t>
  </si>
  <si>
    <t>Average Accuracy</t>
  </si>
  <si>
    <t>Visibility/Fog</t>
  </si>
  <si>
    <t xml:space="preserve">Circle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</si>
</sst>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14" fontId="0" fillId="0" borderId="4" xfId="0" applyNumberFormat="1" applyBorder="1"/>
    <xf numFmtId="0" fontId="0" fillId="0" borderId="4" xfId="0" applyBorder="1"/>
    <xf numFmtId="0" fontId="0" fillId="0" borderId="9" xfId="0" applyBorder="1"/>
    <xf numFmtId="14" fontId="0" fillId="0" borderId="11" xfId="0" applyNumberFormat="1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8" xfId="0" applyBorder="1"/>
    <xf numFmtId="0" fontId="0" fillId="0" borderId="10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3" borderId="4" xfId="0" applyFont="1" applyFill="1" applyBorder="1" applyAlignment="1">
      <alignment horizontal="center" vertical="center"/>
    </xf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1" fillId="3" borderId="23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/>
    </xf>
    <xf numFmtId="164" fontId="0" fillId="0" borderId="0" xfId="0" applyNumberFormat="1"/>
    <xf numFmtId="164" fontId="0" fillId="0" borderId="4" xfId="0" applyNumberFormat="1" applyBorder="1"/>
    <xf numFmtId="164" fontId="0" fillId="0" borderId="9" xfId="0" applyNumberFormat="1" applyBorder="1"/>
    <xf numFmtId="0" fontId="0" fillId="0" borderId="25" xfId="0" applyBorder="1"/>
    <xf numFmtId="164" fontId="0" fillId="0" borderId="7" xfId="0" applyNumberFormat="1" applyBorder="1"/>
    <xf numFmtId="164" fontId="0" fillId="0" borderId="20" xfId="0" applyNumberFormat="1" applyBorder="1"/>
    <xf numFmtId="14" fontId="0" fillId="0" borderId="20" xfId="0" applyNumberFormat="1" applyBorder="1"/>
    <xf numFmtId="0" fontId="0" fillId="5" borderId="18" xfId="0" applyFill="1" applyBorder="1"/>
    <xf numFmtId="0" fontId="0" fillId="5" borderId="13" xfId="0" applyFill="1" applyBorder="1"/>
    <xf numFmtId="0" fontId="0" fillId="5" borderId="14" xfId="0" applyFill="1" applyBorder="1"/>
    <xf numFmtId="0" fontId="1" fillId="3" borderId="1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164" fontId="3" fillId="0" borderId="12" xfId="0" applyNumberFormat="1" applyFont="1" applyBorder="1"/>
    <xf numFmtId="164" fontId="3" fillId="0" borderId="4" xfId="0" applyNumberFormat="1" applyFont="1" applyBorder="1"/>
    <xf numFmtId="164" fontId="4" fillId="0" borderId="4" xfId="0" applyNumberFormat="1" applyFont="1" applyBorder="1"/>
    <xf numFmtId="0" fontId="2" fillId="7" borderId="4" xfId="0" applyFont="1" applyFill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6" borderId="27" xfId="0" applyFont="1" applyFill="1" applyBorder="1" applyAlignment="1">
      <alignment horizontal="left"/>
    </xf>
    <xf numFmtId="0" fontId="1" fillId="6" borderId="26" xfId="0" applyFont="1" applyFill="1" applyBorder="1" applyAlignment="1">
      <alignment horizontal="left"/>
    </xf>
    <xf numFmtId="0" fontId="1" fillId="6" borderId="21" xfId="0" applyFont="1" applyFill="1" applyBorder="1" applyAlignment="1">
      <alignment horizontal="left"/>
    </xf>
    <xf numFmtId="0" fontId="1" fillId="6" borderId="1" xfId="0" applyFont="1" applyFill="1" applyBorder="1" applyAlignment="1">
      <alignment horizontal="left"/>
    </xf>
    <xf numFmtId="0" fontId="1" fillId="6" borderId="2" xfId="0" applyFont="1" applyFill="1" applyBorder="1" applyAlignment="1">
      <alignment horizontal="left"/>
    </xf>
    <xf numFmtId="0" fontId="1" fillId="6" borderId="3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3"/>
  <sheetViews>
    <sheetView tabSelected="1" zoomScale="85" zoomScaleNormal="85" workbookViewId="0">
      <pane ySplit="1" topLeftCell="A2" activePane="bottomLeft" state="frozen"/>
      <selection activeCell="G1" sqref="G1"/>
      <selection pane="bottomLeft"/>
    </sheetView>
  </sheetViews>
  <sheetFormatPr defaultRowHeight="15" x14ac:dyDescent="0.25"/>
  <cols>
    <col min="1" max="1" width="22.140625" bestFit="1" customWidth="1"/>
    <col min="2" max="2" width="10.5703125" bestFit="1" customWidth="1"/>
    <col min="3" max="3" width="11" customWidth="1"/>
    <col min="4" max="4" width="11.28515625" bestFit="1" customWidth="1"/>
    <col min="5" max="6" width="11" bestFit="1" customWidth="1"/>
    <col min="7" max="7" width="12" bestFit="1" customWidth="1"/>
    <col min="8" max="8" width="11.28515625" bestFit="1" customWidth="1"/>
    <col min="9" max="9" width="11" bestFit="1" customWidth="1"/>
    <col min="10" max="10" width="10.42578125" bestFit="1" customWidth="1"/>
    <col min="11" max="12" width="10.5703125" customWidth="1"/>
    <col min="13" max="13" width="11.140625" bestFit="1" customWidth="1"/>
    <col min="14" max="14" width="10.42578125" bestFit="1" customWidth="1"/>
    <col min="15" max="15" width="10.140625" bestFit="1" customWidth="1"/>
    <col min="16" max="16" width="3.7109375" customWidth="1"/>
    <col min="17" max="17" width="7.5703125" bestFit="1" customWidth="1"/>
    <col min="18" max="18" width="30.85546875" customWidth="1"/>
    <col min="19" max="19" width="16.42578125" style="22" customWidth="1"/>
    <col min="21" max="21" width="11.140625" customWidth="1"/>
  </cols>
  <sheetData>
    <row r="1" spans="1:19" ht="18.75" x14ac:dyDescent="0.3">
      <c r="A1" s="33" t="s">
        <v>36</v>
      </c>
      <c r="B1" s="33" t="s">
        <v>27</v>
      </c>
      <c r="C1" s="33" t="s">
        <v>30</v>
      </c>
      <c r="D1" s="32" t="s">
        <v>0</v>
      </c>
      <c r="E1" s="14" t="s">
        <v>1</v>
      </c>
      <c r="F1" s="14" t="s">
        <v>2</v>
      </c>
      <c r="G1" s="14" t="s">
        <v>3</v>
      </c>
      <c r="H1" s="14" t="s">
        <v>4</v>
      </c>
      <c r="I1" s="18" t="s">
        <v>5</v>
      </c>
      <c r="J1" s="19" t="s">
        <v>6</v>
      </c>
      <c r="K1" s="20" t="s">
        <v>7</v>
      </c>
      <c r="L1" s="20" t="s">
        <v>8</v>
      </c>
      <c r="M1" s="20" t="s">
        <v>9</v>
      </c>
      <c r="N1" s="20" t="s">
        <v>10</v>
      </c>
      <c r="O1" s="21" t="s">
        <v>11</v>
      </c>
      <c r="Q1" s="37" t="s">
        <v>33</v>
      </c>
      <c r="R1" s="37"/>
      <c r="S1" s="37"/>
    </row>
    <row r="2" spans="1:19" ht="15.75" thickBot="1" x14ac:dyDescent="0.3">
      <c r="A2" s="29" t="s">
        <v>25</v>
      </c>
      <c r="B2" s="29" t="s">
        <v>28</v>
      </c>
      <c r="C2" s="28">
        <v>46023</v>
      </c>
      <c r="D2" s="11">
        <v>14.6</v>
      </c>
      <c r="E2" s="13">
        <v>11</v>
      </c>
      <c r="F2" s="13">
        <v>42</v>
      </c>
      <c r="G2" s="13">
        <v>11.2</v>
      </c>
      <c r="H2" s="13">
        <v>0</v>
      </c>
      <c r="I2" s="15">
        <v>10</v>
      </c>
      <c r="J2" s="9">
        <v>14.5985</v>
      </c>
      <c r="K2" s="2">
        <v>11.0044</v>
      </c>
      <c r="L2" s="13">
        <v>42.004199999999997</v>
      </c>
      <c r="M2" s="13">
        <v>11.20336</v>
      </c>
      <c r="N2" s="13">
        <v>0</v>
      </c>
      <c r="O2" s="12">
        <v>10</v>
      </c>
      <c r="Q2" s="42" t="s">
        <v>12</v>
      </c>
      <c r="R2" s="43"/>
      <c r="S2" s="44"/>
    </row>
    <row r="3" spans="1:19" x14ac:dyDescent="0.25">
      <c r="A3" s="29" t="s">
        <v>25</v>
      </c>
      <c r="B3" s="29" t="s">
        <v>28</v>
      </c>
      <c r="C3" s="1">
        <v>46024</v>
      </c>
      <c r="D3" s="7">
        <v>14</v>
      </c>
      <c r="E3" s="2">
        <v>12.4</v>
      </c>
      <c r="F3" s="2">
        <v>50</v>
      </c>
      <c r="G3" s="2">
        <v>16.899999999999999</v>
      </c>
      <c r="H3" s="2">
        <v>0</v>
      </c>
      <c r="I3" s="16">
        <v>10</v>
      </c>
      <c r="J3" s="9">
        <v>13.9986</v>
      </c>
      <c r="K3" s="2">
        <v>12.395</v>
      </c>
      <c r="L3" s="2">
        <v>49.994999999999997</v>
      </c>
      <c r="M3" s="2">
        <v>16.894929999999999</v>
      </c>
      <c r="N3" s="2">
        <v>0</v>
      </c>
      <c r="O3" s="3">
        <v>9.9969999999999999</v>
      </c>
      <c r="Q3" s="40" t="s">
        <v>13</v>
      </c>
      <c r="R3" s="11" t="s">
        <v>14</v>
      </c>
      <c r="S3" s="27">
        <f>AVERAGE(ABS(D:D -J:J ))</f>
        <v>1.4000000000002899E-3</v>
      </c>
    </row>
    <row r="4" spans="1:19" x14ac:dyDescent="0.25">
      <c r="A4" s="29" t="s">
        <v>25</v>
      </c>
      <c r="B4" s="29" t="s">
        <v>28</v>
      </c>
      <c r="C4" s="1">
        <v>46025</v>
      </c>
      <c r="D4" s="7">
        <v>14</v>
      </c>
      <c r="E4" s="2">
        <v>11.8</v>
      </c>
      <c r="F4" s="2">
        <v>59</v>
      </c>
      <c r="G4" s="2">
        <v>13.3</v>
      </c>
      <c r="H4" s="2">
        <v>0</v>
      </c>
      <c r="I4" s="16">
        <v>10</v>
      </c>
      <c r="J4" s="9">
        <v>13.9986</v>
      </c>
      <c r="K4" s="2">
        <v>11.795299999999999</v>
      </c>
      <c r="L4" s="2">
        <v>58.994100000000003</v>
      </c>
      <c r="M4" s="2">
        <v>13.296010000000001</v>
      </c>
      <c r="N4" s="2">
        <v>0</v>
      </c>
      <c r="O4" s="3">
        <v>9.9969999999999999</v>
      </c>
      <c r="Q4" s="40"/>
      <c r="R4" s="7" t="s">
        <v>15</v>
      </c>
      <c r="S4" s="23">
        <f>SQRT(SUMSQ(D:D -J:J ) / COUNTA(D:D))</f>
        <v>1.7638342073767591E-4</v>
      </c>
    </row>
    <row r="5" spans="1:19" x14ac:dyDescent="0.25">
      <c r="A5" s="29" t="s">
        <v>25</v>
      </c>
      <c r="B5" s="29" t="s">
        <v>28</v>
      </c>
      <c r="C5" s="1">
        <v>46026</v>
      </c>
      <c r="D5" s="7">
        <v>12.4</v>
      </c>
      <c r="E5" s="2">
        <v>9.8000000000000007</v>
      </c>
      <c r="F5" s="2">
        <v>55</v>
      </c>
      <c r="G5" s="2">
        <v>15.5</v>
      </c>
      <c r="H5" s="2">
        <v>0</v>
      </c>
      <c r="I5" s="16">
        <v>10</v>
      </c>
      <c r="J5" s="9">
        <v>12.401199999999999</v>
      </c>
      <c r="K5" s="2">
        <v>9.7960999999999991</v>
      </c>
      <c r="L5" s="2">
        <v>54.994500000000002</v>
      </c>
      <c r="M5" s="2">
        <v>15.49535</v>
      </c>
      <c r="N5" s="2">
        <v>0</v>
      </c>
      <c r="O5" s="3">
        <v>9.9969999999999999</v>
      </c>
      <c r="Q5" s="40"/>
      <c r="R5" s="7" t="s">
        <v>16</v>
      </c>
      <c r="S5" s="23">
        <f>AVERAGE(ABS((D:D -J:J) /D:D ))</f>
        <v>9.6774193548304803E-5</v>
      </c>
    </row>
    <row r="6" spans="1:19" ht="15.75" thickBot="1" x14ac:dyDescent="0.3">
      <c r="A6" s="29" t="s">
        <v>25</v>
      </c>
      <c r="B6" s="29" t="s">
        <v>28</v>
      </c>
      <c r="C6" s="1">
        <v>46027</v>
      </c>
      <c r="D6" s="7">
        <v>16.600000000000001</v>
      </c>
      <c r="E6" s="2">
        <v>9.8000000000000007</v>
      </c>
      <c r="F6" s="2">
        <v>56</v>
      </c>
      <c r="G6" s="2">
        <v>18</v>
      </c>
      <c r="H6" s="2">
        <v>0</v>
      </c>
      <c r="I6" s="16">
        <v>10</v>
      </c>
      <c r="J6" s="9">
        <v>16.601700000000001</v>
      </c>
      <c r="K6" s="2">
        <v>9.8039000000000005</v>
      </c>
      <c r="L6" s="2">
        <v>55.994399999999992</v>
      </c>
      <c r="M6" s="2">
        <v>17.994599999999998</v>
      </c>
      <c r="N6" s="2">
        <v>0</v>
      </c>
      <c r="O6" s="3">
        <v>9.9969999999999999</v>
      </c>
      <c r="Q6" s="41"/>
      <c r="R6" s="8" t="s">
        <v>17</v>
      </c>
      <c r="S6" s="35">
        <f>(1 -S5) * 100</f>
        <v>99.99032258064517</v>
      </c>
    </row>
    <row r="7" spans="1:19" ht="15.75" thickBot="1" x14ac:dyDescent="0.3">
      <c r="A7" s="29" t="s">
        <v>25</v>
      </c>
      <c r="B7" s="29" t="s">
        <v>28</v>
      </c>
      <c r="C7" s="1">
        <v>46028</v>
      </c>
      <c r="D7" s="7">
        <v>12.8</v>
      </c>
      <c r="E7" s="2">
        <v>9</v>
      </c>
      <c r="F7" s="2">
        <v>48</v>
      </c>
      <c r="G7" s="2">
        <v>16.600000000000001</v>
      </c>
      <c r="H7" s="2">
        <v>0</v>
      </c>
      <c r="I7" s="16">
        <v>10</v>
      </c>
      <c r="J7" s="9">
        <v>12.7987</v>
      </c>
      <c r="K7" s="2">
        <v>9.0036000000000005</v>
      </c>
      <c r="L7" s="2">
        <v>47.995199999999997</v>
      </c>
      <c r="M7" s="2">
        <v>16.595020000000002</v>
      </c>
      <c r="N7" s="2">
        <v>0</v>
      </c>
      <c r="O7" s="3">
        <v>9.9969999999999999</v>
      </c>
      <c r="Q7" s="45" t="s">
        <v>18</v>
      </c>
      <c r="R7" s="46" t="s">
        <v>18</v>
      </c>
      <c r="S7" s="44"/>
    </row>
    <row r="8" spans="1:19" x14ac:dyDescent="0.25">
      <c r="A8" s="29" t="s">
        <v>25</v>
      </c>
      <c r="B8" s="29" t="s">
        <v>28</v>
      </c>
      <c r="C8" s="1">
        <v>46029</v>
      </c>
      <c r="D8" s="7">
        <v>10.4</v>
      </c>
      <c r="E8" s="2">
        <v>9</v>
      </c>
      <c r="F8" s="2">
        <v>46</v>
      </c>
      <c r="G8" s="2">
        <v>18</v>
      </c>
      <c r="H8" s="2">
        <v>0</v>
      </c>
      <c r="I8" s="16">
        <v>10</v>
      </c>
      <c r="J8" s="9">
        <v>10.398999999999999</v>
      </c>
      <c r="K8" s="2">
        <v>8.9963999999999995</v>
      </c>
      <c r="L8" s="2">
        <v>45.995399999999997</v>
      </c>
      <c r="M8" s="2">
        <v>17.994599999999998</v>
      </c>
      <c r="N8" s="2">
        <v>0</v>
      </c>
      <c r="O8" s="3">
        <v>9.9969999999999999</v>
      </c>
      <c r="Q8" s="40" t="s">
        <v>19</v>
      </c>
      <c r="R8" s="11" t="s">
        <v>14</v>
      </c>
      <c r="S8" s="23">
        <f>AVERAGE(ABS(E:E -K:K ))</f>
        <v>3.6000000000004917E-3</v>
      </c>
    </row>
    <row r="9" spans="1:19" x14ac:dyDescent="0.25">
      <c r="A9" s="29" t="s">
        <v>25</v>
      </c>
      <c r="B9" s="29" t="s">
        <v>28</v>
      </c>
      <c r="C9" s="1">
        <v>46030</v>
      </c>
      <c r="D9" s="7">
        <v>11.2</v>
      </c>
      <c r="E9" s="2">
        <v>7.8</v>
      </c>
      <c r="F9" s="2">
        <v>49</v>
      </c>
      <c r="G9" s="2">
        <v>11.5</v>
      </c>
      <c r="H9" s="2">
        <v>0</v>
      </c>
      <c r="I9" s="16">
        <v>10</v>
      </c>
      <c r="J9" s="9">
        <v>11.2011</v>
      </c>
      <c r="K9" s="2">
        <v>7.7968999999999999</v>
      </c>
      <c r="L9" s="2">
        <v>49.004899999999999</v>
      </c>
      <c r="M9" s="2">
        <v>11.503450000000001</v>
      </c>
      <c r="N9" s="2">
        <v>0</v>
      </c>
      <c r="O9" s="3">
        <v>10</v>
      </c>
      <c r="Q9" s="40"/>
      <c r="R9" s="7" t="s">
        <v>15</v>
      </c>
      <c r="S9" s="23">
        <f>SQRT(SUMSQ(E:E -K:K ) / COUNTA(E:E))</f>
        <v>3.9056328877618642E-4</v>
      </c>
    </row>
    <row r="10" spans="1:19" x14ac:dyDescent="0.25">
      <c r="A10" s="29" t="s">
        <v>25</v>
      </c>
      <c r="B10" s="29" t="s">
        <v>28</v>
      </c>
      <c r="C10" s="1">
        <v>46031</v>
      </c>
      <c r="D10" s="7">
        <v>15</v>
      </c>
      <c r="E10" s="2">
        <v>7.2</v>
      </c>
      <c r="F10" s="2">
        <v>49</v>
      </c>
      <c r="G10" s="2">
        <v>10.8</v>
      </c>
      <c r="H10" s="2">
        <v>0</v>
      </c>
      <c r="I10" s="16">
        <v>10</v>
      </c>
      <c r="J10" s="9">
        <v>15.0015</v>
      </c>
      <c r="K10" s="2">
        <v>7.1970999999999998</v>
      </c>
      <c r="L10" s="2">
        <v>49.004899999999999</v>
      </c>
      <c r="M10" s="2">
        <v>10.803240000000001</v>
      </c>
      <c r="N10" s="2">
        <v>0</v>
      </c>
      <c r="O10" s="3">
        <v>10</v>
      </c>
      <c r="Q10" s="40"/>
      <c r="R10" s="7" t="s">
        <v>16</v>
      </c>
      <c r="S10" s="23">
        <f>AVERAGE(ABS((E:E -K:K) /E:E ))</f>
        <v>4.0277777777782592E-4</v>
      </c>
    </row>
    <row r="11" spans="1:19" ht="15.75" thickBot="1" x14ac:dyDescent="0.3">
      <c r="A11" s="29" t="s">
        <v>25</v>
      </c>
      <c r="B11" s="29" t="s">
        <v>28</v>
      </c>
      <c r="C11" s="1">
        <v>46032</v>
      </c>
      <c r="D11" s="7">
        <v>16.600000000000001</v>
      </c>
      <c r="E11" s="2">
        <v>7.8</v>
      </c>
      <c r="F11" s="2">
        <v>45</v>
      </c>
      <c r="G11" s="2">
        <v>13.7</v>
      </c>
      <c r="H11" s="2">
        <v>0</v>
      </c>
      <c r="I11" s="16">
        <v>10</v>
      </c>
      <c r="J11" s="9">
        <v>16.598299999999998</v>
      </c>
      <c r="K11" s="2">
        <v>7.7968999999999999</v>
      </c>
      <c r="L11" s="2">
        <v>45.0045</v>
      </c>
      <c r="M11" s="2">
        <v>13.70411</v>
      </c>
      <c r="N11" s="2">
        <v>0</v>
      </c>
      <c r="O11" s="3">
        <v>10</v>
      </c>
      <c r="Q11" s="41"/>
      <c r="R11" s="8" t="s">
        <v>17</v>
      </c>
      <c r="S11" s="35">
        <f>(1 -S10) * 100</f>
        <v>99.959722222222211</v>
      </c>
    </row>
    <row r="12" spans="1:19" ht="15.75" thickBot="1" x14ac:dyDescent="0.3">
      <c r="A12" s="29" t="s">
        <v>25</v>
      </c>
      <c r="B12" s="29" t="s">
        <v>28</v>
      </c>
      <c r="C12" s="1">
        <v>46033</v>
      </c>
      <c r="D12" s="7">
        <v>13.2</v>
      </c>
      <c r="E12" s="2">
        <v>6.2</v>
      </c>
      <c r="F12" s="2">
        <v>52</v>
      </c>
      <c r="G12" s="2">
        <v>19.399999999999999</v>
      </c>
      <c r="H12" s="2">
        <v>0</v>
      </c>
      <c r="I12" s="16">
        <v>10</v>
      </c>
      <c r="J12" s="9">
        <v>13.2013</v>
      </c>
      <c r="K12" s="2">
        <v>6.1974999999999998</v>
      </c>
      <c r="L12" s="2">
        <v>52.005200000000002</v>
      </c>
      <c r="M12" s="2">
        <v>19.405819999999999</v>
      </c>
      <c r="N12" s="2">
        <v>0</v>
      </c>
      <c r="O12" s="3">
        <v>10</v>
      </c>
      <c r="Q12" s="45" t="s">
        <v>20</v>
      </c>
      <c r="R12" s="46"/>
      <c r="S12" s="47"/>
    </row>
    <row r="13" spans="1:19" x14ac:dyDescent="0.25">
      <c r="A13" s="29" t="s">
        <v>25</v>
      </c>
      <c r="B13" s="29" t="s">
        <v>28</v>
      </c>
      <c r="C13" s="1">
        <v>46034</v>
      </c>
      <c r="D13" s="7">
        <v>11.4</v>
      </c>
      <c r="E13" s="2">
        <v>5.4</v>
      </c>
      <c r="F13" s="2">
        <v>42</v>
      </c>
      <c r="G13" s="2">
        <v>12.6</v>
      </c>
      <c r="H13" s="2">
        <v>0</v>
      </c>
      <c r="I13" s="16">
        <v>10</v>
      </c>
      <c r="J13" s="9">
        <v>11.4011</v>
      </c>
      <c r="K13" s="2">
        <v>5.3978000000000002</v>
      </c>
      <c r="L13" s="2">
        <v>42.004199999999997</v>
      </c>
      <c r="M13" s="2">
        <v>12.60378</v>
      </c>
      <c r="N13" s="2">
        <v>0</v>
      </c>
      <c r="O13" s="3">
        <v>10</v>
      </c>
      <c r="Q13" s="40" t="s">
        <v>21</v>
      </c>
      <c r="R13" s="11" t="s">
        <v>14</v>
      </c>
      <c r="S13" s="23">
        <f>AVERAGE(ABS(F:F -L:L ))</f>
        <v>4.199999999997317E-3</v>
      </c>
    </row>
    <row r="14" spans="1:19" x14ac:dyDescent="0.25">
      <c r="A14" s="29" t="s">
        <v>25</v>
      </c>
      <c r="B14" s="29" t="s">
        <v>28</v>
      </c>
      <c r="C14" s="1">
        <v>46035</v>
      </c>
      <c r="D14" s="7">
        <v>14.6</v>
      </c>
      <c r="E14" s="2">
        <v>5.2</v>
      </c>
      <c r="F14" s="2">
        <v>44</v>
      </c>
      <c r="G14" s="2">
        <v>14.8</v>
      </c>
      <c r="H14" s="2">
        <v>0</v>
      </c>
      <c r="I14" s="16">
        <v>10</v>
      </c>
      <c r="J14" s="9">
        <v>14.6015</v>
      </c>
      <c r="K14" s="2">
        <v>5.1978999999999997</v>
      </c>
      <c r="L14" s="2">
        <v>43.995600000000003</v>
      </c>
      <c r="M14" s="2">
        <v>14.79556</v>
      </c>
      <c r="N14" s="2">
        <v>0</v>
      </c>
      <c r="O14" s="3">
        <v>9.9969999999999999</v>
      </c>
      <c r="Q14" s="40"/>
      <c r="R14" s="7" t="s">
        <v>15</v>
      </c>
      <c r="S14" s="23">
        <f>SQRT(SUMSQ(F:F -L:L ) / COUNTA(F:F))</f>
        <v>5.543478937464698E-4</v>
      </c>
    </row>
    <row r="15" spans="1:19" x14ac:dyDescent="0.25">
      <c r="A15" s="29" t="s">
        <v>25</v>
      </c>
      <c r="B15" s="29" t="s">
        <v>28</v>
      </c>
      <c r="C15" s="1">
        <v>46036</v>
      </c>
      <c r="D15" s="7">
        <v>8.6</v>
      </c>
      <c r="E15" s="2">
        <v>5.4</v>
      </c>
      <c r="F15" s="2">
        <v>48</v>
      </c>
      <c r="G15" s="2">
        <v>15.8</v>
      </c>
      <c r="H15" s="2">
        <v>0</v>
      </c>
      <c r="I15" s="16">
        <v>10</v>
      </c>
      <c r="J15" s="9">
        <v>8.6008999999999993</v>
      </c>
      <c r="K15" s="2">
        <v>5.4021999999999997</v>
      </c>
      <c r="L15" s="2">
        <v>47.995199999999997</v>
      </c>
      <c r="M15" s="2">
        <v>15.795260000000001</v>
      </c>
      <c r="N15" s="2">
        <v>0</v>
      </c>
      <c r="O15" s="3">
        <v>9.9969999999999999</v>
      </c>
      <c r="Q15" s="40"/>
      <c r="R15" s="7" t="s">
        <v>16</v>
      </c>
      <c r="S15" s="23">
        <f>AVERAGE(ABS((E:E -K:K) /E:E ))</f>
        <v>4.0740740740728026E-4</v>
      </c>
    </row>
    <row r="16" spans="1:19" ht="15.75" thickBot="1" x14ac:dyDescent="0.3">
      <c r="A16" s="29" t="s">
        <v>25</v>
      </c>
      <c r="B16" s="29" t="s">
        <v>28</v>
      </c>
      <c r="C16" s="1">
        <v>46037</v>
      </c>
      <c r="D16" s="7">
        <v>14</v>
      </c>
      <c r="E16" s="2">
        <v>6</v>
      </c>
      <c r="F16" s="2">
        <v>48</v>
      </c>
      <c r="G16" s="2">
        <v>20.5</v>
      </c>
      <c r="H16" s="2">
        <v>0</v>
      </c>
      <c r="I16" s="16">
        <v>10</v>
      </c>
      <c r="J16" s="9">
        <v>14.0014</v>
      </c>
      <c r="K16" s="2">
        <v>6.0023999999999997</v>
      </c>
      <c r="L16" s="2">
        <v>47.995199999999997</v>
      </c>
      <c r="M16" s="2">
        <v>20.493849999999998</v>
      </c>
      <c r="N16" s="2">
        <v>0</v>
      </c>
      <c r="O16" s="3">
        <v>9.9969999999999999</v>
      </c>
      <c r="Q16" s="41"/>
      <c r="R16" s="8" t="s">
        <v>17</v>
      </c>
      <c r="S16" s="35">
        <f>(1 -S15) * 100</f>
        <v>99.959259259259269</v>
      </c>
    </row>
    <row r="17" spans="1:19" ht="15.75" thickBot="1" x14ac:dyDescent="0.3">
      <c r="A17" s="29" t="s">
        <v>25</v>
      </c>
      <c r="B17" s="29" t="s">
        <v>28</v>
      </c>
      <c r="C17" s="1">
        <v>46038</v>
      </c>
      <c r="D17" s="7">
        <v>13.6</v>
      </c>
      <c r="E17" s="2">
        <v>6.4</v>
      </c>
      <c r="F17" s="2">
        <v>43</v>
      </c>
      <c r="G17" s="2">
        <v>16.600000000000001</v>
      </c>
      <c r="H17" s="2">
        <v>0</v>
      </c>
      <c r="I17" s="16">
        <v>10</v>
      </c>
      <c r="J17" s="9">
        <v>13.6014</v>
      </c>
      <c r="K17" s="2">
        <v>6.3974000000000002</v>
      </c>
      <c r="L17" s="2">
        <v>42.995699999999992</v>
      </c>
      <c r="M17" s="2">
        <v>16.595020000000002</v>
      </c>
      <c r="N17" s="2">
        <v>0</v>
      </c>
      <c r="O17" s="3">
        <v>9.9969999999999999</v>
      </c>
      <c r="Q17" s="45" t="s">
        <v>32</v>
      </c>
      <c r="R17" s="46"/>
      <c r="S17" s="47"/>
    </row>
    <row r="18" spans="1:19" x14ac:dyDescent="0.25">
      <c r="A18" s="29" t="s">
        <v>25</v>
      </c>
      <c r="B18" s="29" t="s">
        <v>28</v>
      </c>
      <c r="C18" s="1">
        <v>46039</v>
      </c>
      <c r="D18" s="7">
        <v>19.2</v>
      </c>
      <c r="E18" s="2">
        <v>6.6</v>
      </c>
      <c r="F18" s="2">
        <v>39</v>
      </c>
      <c r="G18" s="2">
        <v>9.4</v>
      </c>
      <c r="H18" s="2">
        <v>0</v>
      </c>
      <c r="I18" s="16">
        <v>10</v>
      </c>
      <c r="J18" s="9">
        <v>19.201899999999998</v>
      </c>
      <c r="K18" s="2">
        <v>6.5974000000000004</v>
      </c>
      <c r="L18" s="2">
        <v>38.996099999999998</v>
      </c>
      <c r="M18" s="2">
        <v>9.3971800000000005</v>
      </c>
      <c r="N18" s="2">
        <v>0</v>
      </c>
      <c r="O18" s="3">
        <v>9.9969999999999999</v>
      </c>
      <c r="Q18" s="39" t="s">
        <v>22</v>
      </c>
      <c r="R18" s="25" t="s">
        <v>14</v>
      </c>
      <c r="S18" s="26">
        <f>AVERAGE(ABS(G:G -M:M ))</f>
        <v>2.8199999999998226E-3</v>
      </c>
    </row>
    <row r="19" spans="1:19" x14ac:dyDescent="0.25">
      <c r="A19" s="29" t="s">
        <v>25</v>
      </c>
      <c r="B19" s="29" t="s">
        <v>28</v>
      </c>
      <c r="C19" s="1">
        <v>46040</v>
      </c>
      <c r="D19" s="7">
        <v>21</v>
      </c>
      <c r="E19" s="2">
        <v>7.6</v>
      </c>
      <c r="F19" s="2">
        <v>39</v>
      </c>
      <c r="G19" s="2">
        <v>6.8</v>
      </c>
      <c r="H19" s="2">
        <v>0</v>
      </c>
      <c r="I19" s="16">
        <v>10</v>
      </c>
      <c r="J19" s="9">
        <v>21.002099999999999</v>
      </c>
      <c r="K19" s="2">
        <v>7.5970000000000004</v>
      </c>
      <c r="L19" s="2">
        <v>39.003900000000002</v>
      </c>
      <c r="M19" s="2">
        <v>6.8020399999999999</v>
      </c>
      <c r="N19" s="2">
        <v>0</v>
      </c>
      <c r="O19" s="3">
        <v>10</v>
      </c>
      <c r="Q19" s="40"/>
      <c r="R19" s="7" t="s">
        <v>15</v>
      </c>
      <c r="S19" s="24">
        <f>SQRT(SUMSQ(G:G -M:M ) / COUNTA(G:G))</f>
        <v>2.5701584164627977E-4</v>
      </c>
    </row>
    <row r="20" spans="1:19" x14ac:dyDescent="0.25">
      <c r="A20" s="29" t="s">
        <v>25</v>
      </c>
      <c r="B20" s="29" t="s">
        <v>28</v>
      </c>
      <c r="C20" s="1">
        <v>46041</v>
      </c>
      <c r="D20" s="7">
        <v>23</v>
      </c>
      <c r="E20" s="2">
        <v>9</v>
      </c>
      <c r="F20" s="2">
        <v>36</v>
      </c>
      <c r="G20" s="2">
        <v>9.4</v>
      </c>
      <c r="H20" s="2">
        <v>0</v>
      </c>
      <c r="I20" s="16">
        <v>10</v>
      </c>
      <c r="J20" s="9">
        <v>22.997699999999998</v>
      </c>
      <c r="K20" s="2">
        <v>9.0036000000000005</v>
      </c>
      <c r="L20" s="2">
        <v>36.003599999999999</v>
      </c>
      <c r="M20" s="2">
        <v>9.4028200000000002</v>
      </c>
      <c r="N20" s="2">
        <v>0</v>
      </c>
      <c r="O20" s="3">
        <v>10</v>
      </c>
      <c r="Q20" s="40"/>
      <c r="R20" s="7" t="s">
        <v>16</v>
      </c>
      <c r="S20" s="24">
        <f>AVERAGE(ABS((G:G -M:M) /G:G ))</f>
        <v>2.9999999999998111E-4</v>
      </c>
    </row>
    <row r="21" spans="1:19" ht="15.75" thickBot="1" x14ac:dyDescent="0.3">
      <c r="A21" s="29" t="s">
        <v>25</v>
      </c>
      <c r="B21" s="29" t="s">
        <v>28</v>
      </c>
      <c r="C21" s="1">
        <v>46042</v>
      </c>
      <c r="D21" s="7">
        <v>22.6</v>
      </c>
      <c r="E21" s="2">
        <v>9.8000000000000007</v>
      </c>
      <c r="F21" s="2">
        <v>43</v>
      </c>
      <c r="G21" s="2">
        <v>11.2</v>
      </c>
      <c r="H21" s="2">
        <v>0</v>
      </c>
      <c r="I21" s="16">
        <v>10</v>
      </c>
      <c r="J21" s="9">
        <v>22.6023</v>
      </c>
      <c r="K21" s="2">
        <v>9.7960999999999991</v>
      </c>
      <c r="L21" s="2">
        <v>43.004300000000001</v>
      </c>
      <c r="M21" s="2">
        <v>11.20336</v>
      </c>
      <c r="N21" s="2">
        <v>0</v>
      </c>
      <c r="O21" s="3">
        <v>10</v>
      </c>
      <c r="Q21" s="41"/>
      <c r="R21" s="8" t="s">
        <v>17</v>
      </c>
      <c r="S21" s="34">
        <f>(1 -S20) * 100</f>
        <v>99.97</v>
      </c>
    </row>
    <row r="22" spans="1:19" ht="15.75" thickBot="1" x14ac:dyDescent="0.3">
      <c r="A22" s="29" t="s">
        <v>25</v>
      </c>
      <c r="B22" s="29" t="s">
        <v>28</v>
      </c>
      <c r="C22" s="1">
        <v>46043</v>
      </c>
      <c r="D22" s="7">
        <v>22.4</v>
      </c>
      <c r="E22" s="2">
        <v>8</v>
      </c>
      <c r="F22" s="2">
        <v>43</v>
      </c>
      <c r="G22" s="2">
        <v>15.1</v>
      </c>
      <c r="H22" s="2">
        <v>0</v>
      </c>
      <c r="I22" s="16">
        <v>10</v>
      </c>
      <c r="J22" s="9">
        <v>22.402200000000001</v>
      </c>
      <c r="K22" s="2">
        <v>8.0031999999999996</v>
      </c>
      <c r="L22" s="2">
        <v>43.004300000000001</v>
      </c>
      <c r="M22" s="2">
        <v>15.10453</v>
      </c>
      <c r="N22" s="2">
        <v>0</v>
      </c>
      <c r="O22" s="3">
        <v>10</v>
      </c>
      <c r="Q22" s="45" t="s">
        <v>31</v>
      </c>
      <c r="R22" s="46"/>
      <c r="S22" s="47"/>
    </row>
    <row r="23" spans="1:19" x14ac:dyDescent="0.25">
      <c r="A23" s="29" t="s">
        <v>25</v>
      </c>
      <c r="B23" s="29" t="s">
        <v>28</v>
      </c>
      <c r="C23" s="1">
        <v>46044</v>
      </c>
      <c r="D23" s="7">
        <v>25</v>
      </c>
      <c r="E23" s="2">
        <v>7.6</v>
      </c>
      <c r="F23" s="2">
        <v>42</v>
      </c>
      <c r="G23" s="2">
        <v>21.6</v>
      </c>
      <c r="H23" s="2">
        <v>0</v>
      </c>
      <c r="I23" s="16">
        <v>10</v>
      </c>
      <c r="J23" s="9">
        <v>24.997499999999999</v>
      </c>
      <c r="K23" s="2">
        <v>7.6029999999999998</v>
      </c>
      <c r="L23" s="2">
        <v>42.004199999999997</v>
      </c>
      <c r="M23" s="2">
        <v>21.606480000000001</v>
      </c>
      <c r="N23" s="2">
        <v>0</v>
      </c>
      <c r="O23" s="3">
        <v>10</v>
      </c>
      <c r="Q23" s="40" t="s">
        <v>23</v>
      </c>
      <c r="R23" s="11" t="s">
        <v>14</v>
      </c>
      <c r="S23" s="26">
        <f>AVERAGE(ABS(H:H -N:N ))</f>
        <v>0</v>
      </c>
    </row>
    <row r="24" spans="1:19" x14ac:dyDescent="0.25">
      <c r="A24" s="29" t="s">
        <v>25</v>
      </c>
      <c r="B24" s="29" t="s">
        <v>28</v>
      </c>
      <c r="C24" s="1">
        <v>46045</v>
      </c>
      <c r="D24" s="7">
        <v>12.6</v>
      </c>
      <c r="E24" s="2">
        <v>8.1999999999999993</v>
      </c>
      <c r="F24" s="2">
        <v>67</v>
      </c>
      <c r="G24" s="2">
        <v>46.8</v>
      </c>
      <c r="H24" s="2">
        <v>10.4</v>
      </c>
      <c r="I24" s="16">
        <v>9.1999999999999993</v>
      </c>
      <c r="J24" s="9">
        <v>12.598699999999999</v>
      </c>
      <c r="K24" s="2">
        <v>8.1966999999999999</v>
      </c>
      <c r="L24" s="2">
        <v>66.993299999999991</v>
      </c>
      <c r="M24" s="2">
        <v>46.785960000000003</v>
      </c>
      <c r="N24" s="2">
        <v>11.39584</v>
      </c>
      <c r="O24" s="3">
        <v>9.197239999999999</v>
      </c>
      <c r="Q24" s="40"/>
      <c r="R24" s="7" t="s">
        <v>15</v>
      </c>
      <c r="S24" s="24">
        <f>SQRT(SUMSQ(H:H -N:N ) / COUNTA(H:H))</f>
        <v>0.1254640469338362</v>
      </c>
    </row>
    <row r="25" spans="1:19" x14ac:dyDescent="0.25">
      <c r="A25" s="29" t="s">
        <v>25</v>
      </c>
      <c r="B25" s="29" t="s">
        <v>28</v>
      </c>
      <c r="C25" s="1">
        <v>46046</v>
      </c>
      <c r="D25" s="7">
        <v>15</v>
      </c>
      <c r="E25" s="2">
        <v>7.4</v>
      </c>
      <c r="F25" s="2">
        <v>72</v>
      </c>
      <c r="G25" s="2">
        <v>12.6</v>
      </c>
      <c r="H25" s="2">
        <v>0</v>
      </c>
      <c r="I25" s="16">
        <v>7.3</v>
      </c>
      <c r="J25" s="9">
        <v>15.0015</v>
      </c>
      <c r="K25" s="2">
        <v>7.4029999999999996</v>
      </c>
      <c r="L25" s="2">
        <v>72.007199999999997</v>
      </c>
      <c r="M25" s="2">
        <v>12.60378</v>
      </c>
      <c r="N25" s="2">
        <v>0</v>
      </c>
      <c r="O25" s="3">
        <v>7.3021900000000004</v>
      </c>
      <c r="Q25" s="40"/>
      <c r="R25" s="7" t="s">
        <v>16</v>
      </c>
      <c r="S25" s="24">
        <f>AVERAGE(IF(H:H&lt;&gt;0, ABS(H:H -N:N ) /H:H ))</f>
        <v>0</v>
      </c>
    </row>
    <row r="26" spans="1:19" ht="15.75" thickBot="1" x14ac:dyDescent="0.3">
      <c r="A26" s="29" t="s">
        <v>25</v>
      </c>
      <c r="B26" s="29" t="s">
        <v>28</v>
      </c>
      <c r="C26" s="1">
        <v>46047</v>
      </c>
      <c r="D26" s="7">
        <v>17.2</v>
      </c>
      <c r="E26" s="2">
        <v>8.4</v>
      </c>
      <c r="F26" s="2">
        <v>60</v>
      </c>
      <c r="G26" s="2">
        <v>13.3</v>
      </c>
      <c r="H26" s="2">
        <v>0</v>
      </c>
      <c r="I26" s="16">
        <v>10</v>
      </c>
      <c r="J26" s="9">
        <v>17.1983</v>
      </c>
      <c r="K26" s="2">
        <v>8.3965999999999994</v>
      </c>
      <c r="L26" s="2">
        <v>59.993999999999993</v>
      </c>
      <c r="M26" s="2">
        <v>13.296010000000001</v>
      </c>
      <c r="N26" s="2">
        <v>0</v>
      </c>
      <c r="O26" s="3">
        <v>9.9969999999999999</v>
      </c>
      <c r="Q26" s="41"/>
      <c r="R26" s="8" t="s">
        <v>17</v>
      </c>
      <c r="S26" s="34">
        <f>(1 -S25) * 100</f>
        <v>100</v>
      </c>
    </row>
    <row r="27" spans="1:19" ht="15.75" thickBot="1" x14ac:dyDescent="0.3">
      <c r="A27" s="29" t="s">
        <v>25</v>
      </c>
      <c r="B27" s="29" t="s">
        <v>28</v>
      </c>
      <c r="C27" s="1">
        <v>46048</v>
      </c>
      <c r="D27" s="7">
        <v>19</v>
      </c>
      <c r="E27" s="2">
        <v>7</v>
      </c>
      <c r="F27" s="2">
        <v>64</v>
      </c>
      <c r="G27" s="2">
        <v>19.100000000000001</v>
      </c>
      <c r="H27" s="2">
        <v>0</v>
      </c>
      <c r="I27" s="16">
        <v>10</v>
      </c>
      <c r="J27" s="9">
        <v>18.998100000000001</v>
      </c>
      <c r="K27" s="2">
        <v>7.0027999999999997</v>
      </c>
      <c r="L27" s="2">
        <v>63.993599999999986</v>
      </c>
      <c r="M27" s="2">
        <v>19.094270000000002</v>
      </c>
      <c r="N27" s="2">
        <v>0</v>
      </c>
      <c r="O27" s="3">
        <v>9.9969999999999999</v>
      </c>
      <c r="Q27" s="45" t="s">
        <v>35</v>
      </c>
      <c r="R27" s="46"/>
      <c r="S27" s="47"/>
    </row>
    <row r="28" spans="1:19" x14ac:dyDescent="0.25">
      <c r="A28" s="29" t="s">
        <v>25</v>
      </c>
      <c r="B28" s="29" t="s">
        <v>28</v>
      </c>
      <c r="C28" s="1">
        <v>46049</v>
      </c>
      <c r="D28" s="7">
        <v>14.2</v>
      </c>
      <c r="E28" s="2">
        <v>12.2</v>
      </c>
      <c r="F28" s="2">
        <v>69</v>
      </c>
      <c r="G28" s="2">
        <v>9.6999999999999993</v>
      </c>
      <c r="H28" s="2">
        <v>5.8</v>
      </c>
      <c r="I28" s="16">
        <v>9.8000000000000007</v>
      </c>
      <c r="J28" s="9">
        <v>14.198600000000001</v>
      </c>
      <c r="K28" s="2">
        <v>12.2049</v>
      </c>
      <c r="L28" s="2">
        <v>68.993099999999998</v>
      </c>
      <c r="M28" s="2">
        <v>9.6970899999999993</v>
      </c>
      <c r="N28" s="2">
        <v>5.6976800000000001</v>
      </c>
      <c r="O28" s="3">
        <v>9.7970600000000019</v>
      </c>
      <c r="Q28" s="39" t="s">
        <v>24</v>
      </c>
      <c r="R28" s="25" t="s">
        <v>14</v>
      </c>
      <c r="S28" s="26">
        <f>AVERAGE(ABS(I:I -O:O ))</f>
        <v>2.9399999999988324E-3</v>
      </c>
    </row>
    <row r="29" spans="1:19" x14ac:dyDescent="0.25">
      <c r="A29" s="29" t="s">
        <v>25</v>
      </c>
      <c r="B29" s="29" t="s">
        <v>28</v>
      </c>
      <c r="C29" s="1">
        <v>46050</v>
      </c>
      <c r="D29" s="7">
        <v>17.2</v>
      </c>
      <c r="E29" s="2">
        <v>12.6</v>
      </c>
      <c r="F29" s="2">
        <v>80</v>
      </c>
      <c r="G29" s="2">
        <v>12.2</v>
      </c>
      <c r="H29" s="2">
        <v>7.3</v>
      </c>
      <c r="I29" s="16">
        <v>8.9</v>
      </c>
      <c r="J29" s="9">
        <v>17.1983</v>
      </c>
      <c r="K29" s="2">
        <v>12.595000000000001</v>
      </c>
      <c r="L29" s="2">
        <v>79.99199999999999</v>
      </c>
      <c r="M29" s="2">
        <v>12.196339999999999</v>
      </c>
      <c r="N29" s="2">
        <v>7.2970799999999993</v>
      </c>
      <c r="O29" s="3">
        <v>8.8973300000000002</v>
      </c>
      <c r="Q29" s="40"/>
      <c r="R29" s="7" t="s">
        <v>15</v>
      </c>
      <c r="S29" s="24">
        <f>SQRT(SUMSQ(I:I -O:O ) / COUNTA(I:I))</f>
        <v>3.363883809782339E-4</v>
      </c>
    </row>
    <row r="30" spans="1:19" x14ac:dyDescent="0.25">
      <c r="A30" s="29" t="s">
        <v>25</v>
      </c>
      <c r="B30" s="29" t="s">
        <v>28</v>
      </c>
      <c r="C30" s="1">
        <v>46051</v>
      </c>
      <c r="D30" s="7">
        <v>19</v>
      </c>
      <c r="E30" s="2">
        <v>10</v>
      </c>
      <c r="F30" s="2">
        <v>79</v>
      </c>
      <c r="G30" s="2">
        <v>18</v>
      </c>
      <c r="H30" s="2">
        <v>0</v>
      </c>
      <c r="I30" s="16">
        <v>8.3000000000000007</v>
      </c>
      <c r="J30" s="9">
        <v>19.001899999999999</v>
      </c>
      <c r="K30" s="2">
        <v>10.004</v>
      </c>
      <c r="L30" s="2">
        <v>78.992099999999994</v>
      </c>
      <c r="M30" s="2">
        <v>17.994599999999998</v>
      </c>
      <c r="N30" s="2">
        <v>0</v>
      </c>
      <c r="O30" s="3">
        <v>8.2975100000000008</v>
      </c>
      <c r="Q30" s="40"/>
      <c r="R30" s="7" t="s">
        <v>16</v>
      </c>
      <c r="S30" s="24">
        <f>AVERAGE(ABS((I:I -O:O) /I:I ))</f>
        <v>2.9999999999998566E-4</v>
      </c>
    </row>
    <row r="31" spans="1:19" ht="15.75" thickBot="1" x14ac:dyDescent="0.3">
      <c r="A31" s="29" t="s">
        <v>25</v>
      </c>
      <c r="B31" s="29" t="s">
        <v>28</v>
      </c>
      <c r="C31" s="1">
        <v>46052</v>
      </c>
      <c r="D31" s="7">
        <v>19.600000000000001</v>
      </c>
      <c r="E31" s="2">
        <v>9.1999999999999993</v>
      </c>
      <c r="F31" s="2">
        <v>70</v>
      </c>
      <c r="G31" s="2">
        <v>14</v>
      </c>
      <c r="H31" s="2">
        <v>0</v>
      </c>
      <c r="I31" s="16">
        <v>10</v>
      </c>
      <c r="J31" s="9">
        <v>19.602</v>
      </c>
      <c r="K31" s="2">
        <v>9.2036999999999995</v>
      </c>
      <c r="L31" s="2">
        <v>69.992999999999995</v>
      </c>
      <c r="M31" s="2">
        <v>13.995799999999999</v>
      </c>
      <c r="N31" s="2">
        <v>0</v>
      </c>
      <c r="O31" s="3">
        <v>9.9969999999999999</v>
      </c>
      <c r="Q31" s="41"/>
      <c r="R31" s="8" t="s">
        <v>17</v>
      </c>
      <c r="S31" s="34">
        <f>(1 -S30) * 100</f>
        <v>99.97</v>
      </c>
    </row>
    <row r="32" spans="1:19" x14ac:dyDescent="0.25">
      <c r="A32" s="29" t="s">
        <v>25</v>
      </c>
      <c r="B32" s="29" t="s">
        <v>28</v>
      </c>
      <c r="C32" s="1">
        <v>46053</v>
      </c>
      <c r="D32" s="7">
        <v>17.399999999999999</v>
      </c>
      <c r="E32" s="2">
        <v>9.1999999999999993</v>
      </c>
      <c r="F32" s="2">
        <v>68</v>
      </c>
      <c r="G32" s="2">
        <v>7.9</v>
      </c>
      <c r="H32" s="2">
        <v>0</v>
      </c>
      <c r="I32" s="16">
        <v>10</v>
      </c>
      <c r="J32" s="9">
        <v>17.401700000000002</v>
      </c>
      <c r="K32" s="2">
        <v>9.2036999999999995</v>
      </c>
      <c r="L32" s="2">
        <v>67.993199999999987</v>
      </c>
      <c r="M32" s="2">
        <v>7.8976300000000004</v>
      </c>
      <c r="N32" s="2">
        <v>0</v>
      </c>
      <c r="O32" s="3">
        <v>9.9969999999999999</v>
      </c>
    </row>
    <row r="33" spans="1:19" ht="15.75" x14ac:dyDescent="0.25">
      <c r="A33" s="30" t="s">
        <v>26</v>
      </c>
      <c r="B33" s="30" t="s">
        <v>29</v>
      </c>
      <c r="C33" s="1">
        <v>46023</v>
      </c>
      <c r="D33" s="7">
        <v>28</v>
      </c>
      <c r="E33" s="2">
        <v>25</v>
      </c>
      <c r="F33" s="2">
        <v>82</v>
      </c>
      <c r="G33" s="2">
        <v>30.6</v>
      </c>
      <c r="H33" s="2">
        <v>5.3</v>
      </c>
      <c r="I33" s="16">
        <v>9.6999999999999993</v>
      </c>
      <c r="J33" s="9">
        <v>28.002800000000001</v>
      </c>
      <c r="K33" s="2">
        <v>25.01</v>
      </c>
      <c r="L33" s="2">
        <v>82.008200000000002</v>
      </c>
      <c r="M33" s="2">
        <v>30.609179999999999</v>
      </c>
      <c r="N33" s="2">
        <v>5.3021200000000004</v>
      </c>
      <c r="O33" s="3">
        <v>9.7029099999999993</v>
      </c>
      <c r="Q33" s="38" t="s">
        <v>34</v>
      </c>
      <c r="R33" s="38"/>
      <c r="S33" s="36">
        <f>AVERAGE(S31,S26,S21,S16,S11,S6)</f>
        <v>99.974884010354444</v>
      </c>
    </row>
    <row r="34" spans="1:19" x14ac:dyDescent="0.25">
      <c r="A34" s="30" t="s">
        <v>26</v>
      </c>
      <c r="B34" s="30" t="s">
        <v>29</v>
      </c>
      <c r="C34" s="1">
        <v>46024</v>
      </c>
      <c r="D34" s="7">
        <v>28.4</v>
      </c>
      <c r="E34" s="2">
        <v>25</v>
      </c>
      <c r="F34" s="2">
        <v>83</v>
      </c>
      <c r="G34" s="2">
        <v>22</v>
      </c>
      <c r="H34" s="2">
        <v>2.5</v>
      </c>
      <c r="I34" s="16">
        <v>9.8000000000000007</v>
      </c>
      <c r="J34" s="9">
        <v>28.402799999999999</v>
      </c>
      <c r="K34" s="2">
        <v>24.99</v>
      </c>
      <c r="L34" s="2">
        <v>83.008300000000006</v>
      </c>
      <c r="M34" s="2">
        <v>22.006599999999999</v>
      </c>
      <c r="N34" s="2">
        <v>2.5009999999999999</v>
      </c>
      <c r="O34" s="3">
        <v>9.8029399999999995</v>
      </c>
    </row>
    <row r="35" spans="1:19" x14ac:dyDescent="0.25">
      <c r="A35" s="30" t="s">
        <v>26</v>
      </c>
      <c r="B35" s="30" t="s">
        <v>29</v>
      </c>
      <c r="C35" s="1">
        <v>46025</v>
      </c>
      <c r="D35" s="7">
        <v>27.8</v>
      </c>
      <c r="E35" s="2">
        <v>24</v>
      </c>
      <c r="F35" s="2">
        <v>79</v>
      </c>
      <c r="G35" s="2">
        <v>20.9</v>
      </c>
      <c r="H35" s="2">
        <v>1</v>
      </c>
      <c r="I35" s="16">
        <v>10</v>
      </c>
      <c r="J35" s="9">
        <v>27.7972</v>
      </c>
      <c r="K35" s="2">
        <v>24.009599999999999</v>
      </c>
      <c r="L35" s="2">
        <v>79.007899999999992</v>
      </c>
      <c r="M35" s="2">
        <v>20.906269999999999</v>
      </c>
      <c r="N35" s="2">
        <v>1.0004</v>
      </c>
      <c r="O35" s="3">
        <v>10</v>
      </c>
    </row>
    <row r="36" spans="1:19" x14ac:dyDescent="0.25">
      <c r="A36" s="30" t="s">
        <v>26</v>
      </c>
      <c r="B36" s="30" t="s">
        <v>29</v>
      </c>
      <c r="C36" s="1">
        <v>46026</v>
      </c>
      <c r="D36" s="7">
        <v>28</v>
      </c>
      <c r="E36" s="2">
        <v>22.8</v>
      </c>
      <c r="F36" s="2">
        <v>74</v>
      </c>
      <c r="G36" s="2">
        <v>24.8</v>
      </c>
      <c r="H36" s="2">
        <v>0</v>
      </c>
      <c r="I36" s="16">
        <v>10</v>
      </c>
      <c r="J36" s="9">
        <v>27.997199999999999</v>
      </c>
      <c r="K36" s="2">
        <v>22.790900000000001</v>
      </c>
      <c r="L36" s="2">
        <v>74.007400000000004</v>
      </c>
      <c r="M36" s="2">
        <v>24.80744</v>
      </c>
      <c r="N36" s="2">
        <v>0</v>
      </c>
      <c r="O36" s="3">
        <v>10</v>
      </c>
    </row>
    <row r="37" spans="1:19" x14ac:dyDescent="0.25">
      <c r="A37" s="30" t="s">
        <v>26</v>
      </c>
      <c r="B37" s="30" t="s">
        <v>29</v>
      </c>
      <c r="C37" s="1">
        <v>46027</v>
      </c>
      <c r="D37" s="7">
        <v>28</v>
      </c>
      <c r="E37" s="2">
        <v>23.4</v>
      </c>
      <c r="F37" s="2">
        <v>73</v>
      </c>
      <c r="G37" s="2">
        <v>30.2</v>
      </c>
      <c r="H37" s="2">
        <v>0</v>
      </c>
      <c r="I37" s="16">
        <v>10</v>
      </c>
      <c r="J37" s="9">
        <v>28.002800000000001</v>
      </c>
      <c r="K37" s="2">
        <v>23.409400000000002</v>
      </c>
      <c r="L37" s="2">
        <v>73.007300000000001</v>
      </c>
      <c r="M37" s="2">
        <v>30.209060000000001</v>
      </c>
      <c r="N37" s="2">
        <v>0</v>
      </c>
      <c r="O37" s="3">
        <v>10</v>
      </c>
    </row>
    <row r="38" spans="1:19" x14ac:dyDescent="0.25">
      <c r="A38" s="30" t="s">
        <v>26</v>
      </c>
      <c r="B38" s="30" t="s">
        <v>29</v>
      </c>
      <c r="C38" s="1">
        <v>46028</v>
      </c>
      <c r="D38" s="7">
        <v>28</v>
      </c>
      <c r="E38" s="2">
        <v>23</v>
      </c>
      <c r="F38" s="2">
        <v>71</v>
      </c>
      <c r="G38" s="2">
        <v>31</v>
      </c>
      <c r="H38" s="2">
        <v>0</v>
      </c>
      <c r="I38" s="16">
        <v>10</v>
      </c>
      <c r="J38" s="9">
        <v>28.002800000000001</v>
      </c>
      <c r="K38" s="2">
        <v>22.9908</v>
      </c>
      <c r="L38" s="2">
        <v>71.007099999999994</v>
      </c>
      <c r="M38" s="2">
        <v>31.0093</v>
      </c>
      <c r="N38" s="2">
        <v>0</v>
      </c>
      <c r="O38" s="3">
        <v>10</v>
      </c>
    </row>
    <row r="39" spans="1:19" x14ac:dyDescent="0.25">
      <c r="A39" s="30" t="s">
        <v>26</v>
      </c>
      <c r="B39" s="30" t="s">
        <v>29</v>
      </c>
      <c r="C39" s="1">
        <v>46029</v>
      </c>
      <c r="D39" s="7">
        <v>27.8</v>
      </c>
      <c r="E39" s="2">
        <v>22</v>
      </c>
      <c r="F39" s="2">
        <v>68</v>
      </c>
      <c r="G39" s="2">
        <v>31.3</v>
      </c>
      <c r="H39" s="2">
        <v>0.4</v>
      </c>
      <c r="I39" s="16">
        <v>10</v>
      </c>
      <c r="J39" s="9">
        <v>27.7972</v>
      </c>
      <c r="K39" s="2">
        <v>22.008800000000001</v>
      </c>
      <c r="L39" s="2">
        <v>68.006799999999998</v>
      </c>
      <c r="M39" s="2">
        <v>31.30939</v>
      </c>
      <c r="N39" s="2">
        <v>0.40016000000000002</v>
      </c>
      <c r="O39" s="3">
        <v>10</v>
      </c>
    </row>
    <row r="40" spans="1:19" x14ac:dyDescent="0.25">
      <c r="A40" s="30" t="s">
        <v>26</v>
      </c>
      <c r="B40" s="30" t="s">
        <v>29</v>
      </c>
      <c r="C40" s="1">
        <v>46030</v>
      </c>
      <c r="D40" s="7">
        <v>28</v>
      </c>
      <c r="E40" s="2">
        <v>22.4</v>
      </c>
      <c r="F40" s="2">
        <v>70</v>
      </c>
      <c r="G40" s="2">
        <v>31.7</v>
      </c>
      <c r="H40" s="2">
        <v>0</v>
      </c>
      <c r="I40" s="16">
        <v>10</v>
      </c>
      <c r="J40" s="9">
        <v>28.002800000000001</v>
      </c>
      <c r="K40" s="2">
        <v>22.408999999999999</v>
      </c>
      <c r="L40" s="2">
        <v>70.007000000000005</v>
      </c>
      <c r="M40" s="2">
        <v>31.709510000000002</v>
      </c>
      <c r="N40" s="2">
        <v>0</v>
      </c>
      <c r="O40" s="3">
        <v>10</v>
      </c>
    </row>
    <row r="41" spans="1:19" x14ac:dyDescent="0.25">
      <c r="A41" s="30" t="s">
        <v>26</v>
      </c>
      <c r="B41" s="30" t="s">
        <v>29</v>
      </c>
      <c r="C41" s="1">
        <v>46031</v>
      </c>
      <c r="D41" s="7">
        <v>25.4</v>
      </c>
      <c r="E41" s="2">
        <v>23</v>
      </c>
      <c r="F41" s="2">
        <v>71</v>
      </c>
      <c r="G41" s="2">
        <v>27.7</v>
      </c>
      <c r="H41" s="2">
        <v>0</v>
      </c>
      <c r="I41" s="16">
        <v>10</v>
      </c>
      <c r="J41" s="9">
        <v>25.4025</v>
      </c>
      <c r="K41" s="2">
        <v>22.9908</v>
      </c>
      <c r="L41" s="2">
        <v>70.992899999999992</v>
      </c>
      <c r="M41" s="2">
        <v>27.691690000000001</v>
      </c>
      <c r="N41" s="2">
        <v>0</v>
      </c>
      <c r="O41" s="3">
        <v>9.9969999999999999</v>
      </c>
    </row>
    <row r="42" spans="1:19" x14ac:dyDescent="0.25">
      <c r="A42" s="30" t="s">
        <v>26</v>
      </c>
      <c r="B42" s="30" t="s">
        <v>29</v>
      </c>
      <c r="C42" s="1">
        <v>46032</v>
      </c>
      <c r="D42" s="7">
        <v>24</v>
      </c>
      <c r="E42" s="2">
        <v>22.8</v>
      </c>
      <c r="F42" s="2">
        <v>72</v>
      </c>
      <c r="G42" s="2">
        <v>32.4</v>
      </c>
      <c r="H42" s="2">
        <v>0.5</v>
      </c>
      <c r="I42" s="16">
        <v>10</v>
      </c>
      <c r="J42" s="9">
        <v>23.997599999999998</v>
      </c>
      <c r="K42" s="2">
        <v>22.790900000000001</v>
      </c>
      <c r="L42" s="2">
        <v>71.992799999999988</v>
      </c>
      <c r="M42" s="2">
        <v>32.390279999999997</v>
      </c>
      <c r="N42" s="2">
        <v>0.49980000000000002</v>
      </c>
      <c r="O42" s="3">
        <v>9.9969999999999999</v>
      </c>
    </row>
    <row r="43" spans="1:19" x14ac:dyDescent="0.25">
      <c r="A43" s="30" t="s">
        <v>26</v>
      </c>
      <c r="B43" s="30" t="s">
        <v>29</v>
      </c>
      <c r="C43" s="1">
        <v>46033</v>
      </c>
      <c r="D43" s="7">
        <v>26.4</v>
      </c>
      <c r="E43" s="2">
        <v>22.4</v>
      </c>
      <c r="F43" s="2">
        <v>87</v>
      </c>
      <c r="G43" s="2">
        <v>25.9</v>
      </c>
      <c r="H43" s="2">
        <v>20.3</v>
      </c>
      <c r="I43" s="16">
        <v>10</v>
      </c>
      <c r="J43" s="9">
        <v>26.4026</v>
      </c>
      <c r="K43" s="2">
        <v>22.390999999999998</v>
      </c>
      <c r="L43" s="2">
        <v>86.991299999999995</v>
      </c>
      <c r="M43" s="2">
        <v>25.892230000000001</v>
      </c>
      <c r="N43" s="2">
        <v>20.291879999999999</v>
      </c>
      <c r="O43" s="3">
        <v>9.9969999999999999</v>
      </c>
    </row>
    <row r="44" spans="1:19" x14ac:dyDescent="0.25">
      <c r="A44" s="30" t="s">
        <v>26</v>
      </c>
      <c r="B44" s="30" t="s">
        <v>29</v>
      </c>
      <c r="C44" s="1">
        <v>46034</v>
      </c>
      <c r="D44" s="7">
        <v>24.8</v>
      </c>
      <c r="E44" s="2">
        <v>22</v>
      </c>
      <c r="F44" s="2">
        <v>85</v>
      </c>
      <c r="G44" s="2">
        <v>26.6</v>
      </c>
      <c r="H44" s="2">
        <v>8.6999999999999993</v>
      </c>
      <c r="I44" s="16">
        <v>10</v>
      </c>
      <c r="J44" s="9">
        <v>24.802499999999998</v>
      </c>
      <c r="K44" s="2">
        <v>22.008800000000001</v>
      </c>
      <c r="L44" s="2">
        <v>84.991499999999988</v>
      </c>
      <c r="M44" s="2">
        <v>26.592020000000002</v>
      </c>
      <c r="N44" s="2">
        <v>8.6965199999999996</v>
      </c>
      <c r="O44" s="3">
        <v>9.9969999999999999</v>
      </c>
    </row>
    <row r="45" spans="1:19" x14ac:dyDescent="0.25">
      <c r="A45" s="30" t="s">
        <v>26</v>
      </c>
      <c r="B45" s="30" t="s">
        <v>29</v>
      </c>
      <c r="C45" s="1">
        <v>46035</v>
      </c>
      <c r="D45" s="7">
        <v>27.4</v>
      </c>
      <c r="E45" s="2">
        <v>23.2</v>
      </c>
      <c r="F45" s="2">
        <v>77</v>
      </c>
      <c r="G45" s="2">
        <v>23.8</v>
      </c>
      <c r="H45" s="2">
        <v>0.3</v>
      </c>
      <c r="I45" s="16">
        <v>10</v>
      </c>
      <c r="J45" s="9">
        <v>27.397300000000001</v>
      </c>
      <c r="K45" s="2">
        <v>23.1907</v>
      </c>
      <c r="L45" s="2">
        <v>77.0077</v>
      </c>
      <c r="M45" s="2">
        <v>23.80714</v>
      </c>
      <c r="N45" s="2">
        <v>0.30012</v>
      </c>
      <c r="O45" s="3">
        <v>10</v>
      </c>
    </row>
    <row r="46" spans="1:19" x14ac:dyDescent="0.25">
      <c r="A46" s="30" t="s">
        <v>26</v>
      </c>
      <c r="B46" s="30" t="s">
        <v>29</v>
      </c>
      <c r="C46" s="1">
        <v>46036</v>
      </c>
      <c r="D46" s="7">
        <v>28</v>
      </c>
      <c r="E46" s="2">
        <v>22.6</v>
      </c>
      <c r="F46" s="2">
        <v>77</v>
      </c>
      <c r="G46" s="2">
        <v>15.5</v>
      </c>
      <c r="H46" s="2">
        <v>0</v>
      </c>
      <c r="I46" s="16">
        <v>10</v>
      </c>
      <c r="J46" s="9">
        <v>28.002800000000001</v>
      </c>
      <c r="K46" s="2">
        <v>22.609000000000002</v>
      </c>
      <c r="L46" s="2">
        <v>77.0077</v>
      </c>
      <c r="M46" s="2">
        <v>15.50465</v>
      </c>
      <c r="N46" s="2">
        <v>0</v>
      </c>
      <c r="O46" s="3">
        <v>10</v>
      </c>
    </row>
    <row r="47" spans="1:19" x14ac:dyDescent="0.25">
      <c r="A47" s="30" t="s">
        <v>26</v>
      </c>
      <c r="B47" s="30" t="s">
        <v>29</v>
      </c>
      <c r="C47" s="1">
        <v>46037</v>
      </c>
      <c r="D47" s="7">
        <v>27.4</v>
      </c>
      <c r="E47" s="2">
        <v>22.4</v>
      </c>
      <c r="F47" s="2">
        <v>75</v>
      </c>
      <c r="G47" s="2">
        <v>19.100000000000001</v>
      </c>
      <c r="H47" s="2">
        <v>0</v>
      </c>
      <c r="I47" s="16">
        <v>10</v>
      </c>
      <c r="J47" s="9">
        <v>27.402699999999999</v>
      </c>
      <c r="K47" s="2">
        <v>22.408999999999999</v>
      </c>
      <c r="L47" s="2">
        <v>75.007499999999993</v>
      </c>
      <c r="M47" s="2">
        <v>19.105730000000001</v>
      </c>
      <c r="N47" s="2">
        <v>0</v>
      </c>
      <c r="O47" s="3">
        <v>10</v>
      </c>
    </row>
    <row r="48" spans="1:19" x14ac:dyDescent="0.25">
      <c r="A48" s="30" t="s">
        <v>26</v>
      </c>
      <c r="B48" s="30" t="s">
        <v>29</v>
      </c>
      <c r="C48" s="1">
        <v>46038</v>
      </c>
      <c r="D48" s="7">
        <v>27.6</v>
      </c>
      <c r="E48" s="2">
        <v>23</v>
      </c>
      <c r="F48" s="2">
        <v>75</v>
      </c>
      <c r="G48" s="2">
        <v>20.2</v>
      </c>
      <c r="H48" s="2">
        <v>0</v>
      </c>
      <c r="I48" s="16">
        <v>10</v>
      </c>
      <c r="J48" s="9">
        <v>27.597200000000001</v>
      </c>
      <c r="K48" s="2">
        <v>22.9908</v>
      </c>
      <c r="L48" s="2">
        <v>75.007499999999993</v>
      </c>
      <c r="M48" s="2">
        <v>20.206060000000001</v>
      </c>
      <c r="N48" s="2">
        <v>0</v>
      </c>
      <c r="O48" s="3">
        <v>10</v>
      </c>
    </row>
    <row r="49" spans="1:15" x14ac:dyDescent="0.25">
      <c r="A49" s="30" t="s">
        <v>26</v>
      </c>
      <c r="B49" s="30" t="s">
        <v>29</v>
      </c>
      <c r="C49" s="1">
        <v>46039</v>
      </c>
      <c r="D49" s="7">
        <v>28</v>
      </c>
      <c r="E49" s="2">
        <v>22.4</v>
      </c>
      <c r="F49" s="2">
        <v>71</v>
      </c>
      <c r="G49" s="2">
        <v>19.8</v>
      </c>
      <c r="H49" s="2">
        <v>0</v>
      </c>
      <c r="I49" s="16">
        <v>10</v>
      </c>
      <c r="J49" s="9">
        <v>28.002800000000001</v>
      </c>
      <c r="K49" s="2">
        <v>22.390999999999998</v>
      </c>
      <c r="L49" s="2">
        <v>71.007099999999994</v>
      </c>
      <c r="M49" s="2">
        <v>19.80594</v>
      </c>
      <c r="N49" s="2">
        <v>0</v>
      </c>
      <c r="O49" s="3">
        <v>10</v>
      </c>
    </row>
    <row r="50" spans="1:15" x14ac:dyDescent="0.25">
      <c r="A50" s="30" t="s">
        <v>26</v>
      </c>
      <c r="B50" s="30" t="s">
        <v>29</v>
      </c>
      <c r="C50" s="1">
        <v>46040</v>
      </c>
      <c r="D50" s="7">
        <v>27.4</v>
      </c>
      <c r="E50" s="2">
        <v>20.399999999999999</v>
      </c>
      <c r="F50" s="2">
        <v>67</v>
      </c>
      <c r="G50" s="2">
        <v>15.5</v>
      </c>
      <c r="H50" s="2">
        <v>0</v>
      </c>
      <c r="I50" s="16">
        <v>10</v>
      </c>
      <c r="J50" s="9">
        <v>27.402699999999999</v>
      </c>
      <c r="K50" s="2">
        <v>20.408200000000001</v>
      </c>
      <c r="L50" s="2">
        <v>66.993299999999991</v>
      </c>
      <c r="M50" s="2">
        <v>15.49535</v>
      </c>
      <c r="N50" s="2">
        <v>0</v>
      </c>
      <c r="O50" s="3">
        <v>9.9969999999999999</v>
      </c>
    </row>
    <row r="51" spans="1:15" x14ac:dyDescent="0.25">
      <c r="A51" s="30" t="s">
        <v>26</v>
      </c>
      <c r="B51" s="30" t="s">
        <v>29</v>
      </c>
      <c r="C51" s="1">
        <v>46041</v>
      </c>
      <c r="D51" s="7">
        <v>27.4</v>
      </c>
      <c r="E51" s="2">
        <v>21.4</v>
      </c>
      <c r="F51" s="2">
        <v>67</v>
      </c>
      <c r="G51" s="2">
        <v>16.600000000000001</v>
      </c>
      <c r="H51" s="2">
        <v>0</v>
      </c>
      <c r="I51" s="16">
        <v>10</v>
      </c>
      <c r="J51" s="9">
        <v>27.402699999999999</v>
      </c>
      <c r="K51" s="2">
        <v>21.391400000000001</v>
      </c>
      <c r="L51" s="2">
        <v>66.993299999999991</v>
      </c>
      <c r="M51" s="2">
        <v>16.595020000000002</v>
      </c>
      <c r="N51" s="2">
        <v>0</v>
      </c>
      <c r="O51" s="3">
        <v>9.9969999999999999</v>
      </c>
    </row>
    <row r="52" spans="1:15" x14ac:dyDescent="0.25">
      <c r="A52" s="30" t="s">
        <v>26</v>
      </c>
      <c r="B52" s="30" t="s">
        <v>29</v>
      </c>
      <c r="C52" s="1">
        <v>46042</v>
      </c>
      <c r="D52" s="7">
        <v>27.2</v>
      </c>
      <c r="E52" s="2">
        <v>21.4</v>
      </c>
      <c r="F52" s="2">
        <v>68</v>
      </c>
      <c r="G52" s="2">
        <v>20.9</v>
      </c>
      <c r="H52" s="2">
        <v>0</v>
      </c>
      <c r="I52" s="16">
        <v>10</v>
      </c>
      <c r="J52" s="9">
        <v>27.197299999999998</v>
      </c>
      <c r="K52" s="2">
        <v>21.391400000000001</v>
      </c>
      <c r="L52" s="2">
        <v>67.993199999999987</v>
      </c>
      <c r="M52" s="2">
        <v>20.893730000000001</v>
      </c>
      <c r="N52" s="2">
        <v>0</v>
      </c>
      <c r="O52" s="3">
        <v>9.9969999999999999</v>
      </c>
    </row>
    <row r="53" spans="1:15" x14ac:dyDescent="0.25">
      <c r="A53" s="30" t="s">
        <v>26</v>
      </c>
      <c r="B53" s="30" t="s">
        <v>29</v>
      </c>
      <c r="C53" s="1">
        <v>46043</v>
      </c>
      <c r="D53" s="7">
        <v>28.4</v>
      </c>
      <c r="E53" s="2">
        <v>21.6</v>
      </c>
      <c r="F53" s="2">
        <v>70</v>
      </c>
      <c r="G53" s="2">
        <v>22.3</v>
      </c>
      <c r="H53" s="2">
        <v>0</v>
      </c>
      <c r="I53" s="16">
        <v>10</v>
      </c>
      <c r="J53" s="9">
        <v>28.397200000000002</v>
      </c>
      <c r="K53" s="2">
        <v>21.5914</v>
      </c>
      <c r="L53" s="2">
        <v>69.992999999999995</v>
      </c>
      <c r="M53" s="2">
        <v>22.293310000000002</v>
      </c>
      <c r="N53" s="2">
        <v>0</v>
      </c>
      <c r="O53" s="3">
        <v>9.9969999999999999</v>
      </c>
    </row>
    <row r="54" spans="1:15" x14ac:dyDescent="0.25">
      <c r="A54" s="30" t="s">
        <v>26</v>
      </c>
      <c r="B54" s="30" t="s">
        <v>29</v>
      </c>
      <c r="C54" s="1">
        <v>46044</v>
      </c>
      <c r="D54" s="7">
        <v>27.8</v>
      </c>
      <c r="E54" s="2">
        <v>21.6</v>
      </c>
      <c r="F54" s="2">
        <v>69</v>
      </c>
      <c r="G54" s="2">
        <v>23.8</v>
      </c>
      <c r="H54" s="2">
        <v>0</v>
      </c>
      <c r="I54" s="16">
        <v>10</v>
      </c>
      <c r="J54" s="9">
        <v>27.802800000000001</v>
      </c>
      <c r="K54" s="2">
        <v>21.608599999999999</v>
      </c>
      <c r="L54" s="2">
        <v>68.993099999999998</v>
      </c>
      <c r="M54" s="2">
        <v>23.792860000000001</v>
      </c>
      <c r="N54" s="2">
        <v>0</v>
      </c>
      <c r="O54" s="3">
        <v>9.9969999999999999</v>
      </c>
    </row>
    <row r="55" spans="1:15" x14ac:dyDescent="0.25">
      <c r="A55" s="30" t="s">
        <v>26</v>
      </c>
      <c r="B55" s="30" t="s">
        <v>29</v>
      </c>
      <c r="C55" s="1">
        <v>46045</v>
      </c>
      <c r="D55" s="7">
        <v>26.6</v>
      </c>
      <c r="E55" s="2">
        <v>21.8</v>
      </c>
      <c r="F55" s="2">
        <v>71</v>
      </c>
      <c r="G55" s="2">
        <v>26.3</v>
      </c>
      <c r="H55" s="2">
        <v>0.1</v>
      </c>
      <c r="I55" s="16">
        <v>10</v>
      </c>
      <c r="J55" s="9">
        <v>26.602699999999999</v>
      </c>
      <c r="K55" s="2">
        <v>21.808700000000002</v>
      </c>
      <c r="L55" s="2">
        <v>71.007099999999994</v>
      </c>
      <c r="M55" s="2">
        <v>26.30789</v>
      </c>
      <c r="N55" s="2">
        <v>0.10004</v>
      </c>
      <c r="O55" s="3">
        <v>10</v>
      </c>
    </row>
    <row r="56" spans="1:15" x14ac:dyDescent="0.25">
      <c r="A56" s="30" t="s">
        <v>26</v>
      </c>
      <c r="B56" s="30" t="s">
        <v>29</v>
      </c>
      <c r="C56" s="1">
        <v>46046</v>
      </c>
      <c r="D56" s="7">
        <v>24.2</v>
      </c>
      <c r="E56" s="2">
        <v>22</v>
      </c>
      <c r="F56" s="2">
        <v>80</v>
      </c>
      <c r="G56" s="2">
        <v>34.200000000000003</v>
      </c>
      <c r="H56" s="2">
        <v>2.5</v>
      </c>
      <c r="I56" s="16">
        <v>10</v>
      </c>
      <c r="J56" s="9">
        <v>24.202400000000001</v>
      </c>
      <c r="K56" s="2">
        <v>22.008800000000001</v>
      </c>
      <c r="L56" s="2">
        <v>79.99199999999999</v>
      </c>
      <c r="M56" s="2">
        <v>34.18974</v>
      </c>
      <c r="N56" s="2">
        <v>2.4990000000000001</v>
      </c>
      <c r="O56" s="3">
        <v>9.9969999999999999</v>
      </c>
    </row>
    <row r="57" spans="1:15" x14ac:dyDescent="0.25">
      <c r="A57" s="30" t="s">
        <v>26</v>
      </c>
      <c r="B57" s="30" t="s">
        <v>29</v>
      </c>
      <c r="C57" s="1">
        <v>46047</v>
      </c>
      <c r="D57" s="7">
        <v>23.4</v>
      </c>
      <c r="E57" s="2">
        <v>22</v>
      </c>
      <c r="F57" s="2">
        <v>79</v>
      </c>
      <c r="G57" s="2">
        <v>28.1</v>
      </c>
      <c r="H57" s="2">
        <v>0.4</v>
      </c>
      <c r="I57" s="16">
        <v>10</v>
      </c>
      <c r="J57" s="9">
        <v>23.3977</v>
      </c>
      <c r="K57" s="2">
        <v>21.991199999999999</v>
      </c>
      <c r="L57" s="2">
        <v>79.007899999999992</v>
      </c>
      <c r="M57" s="2">
        <v>28.108429999999998</v>
      </c>
      <c r="N57" s="2">
        <v>0.40016000000000002</v>
      </c>
      <c r="O57" s="3">
        <v>10</v>
      </c>
    </row>
    <row r="58" spans="1:15" x14ac:dyDescent="0.25">
      <c r="A58" s="30" t="s">
        <v>26</v>
      </c>
      <c r="B58" s="30" t="s">
        <v>29</v>
      </c>
      <c r="C58" s="1">
        <v>46048</v>
      </c>
      <c r="D58" s="7">
        <v>28</v>
      </c>
      <c r="E58" s="2">
        <v>23</v>
      </c>
      <c r="F58" s="2">
        <v>82</v>
      </c>
      <c r="G58" s="2">
        <v>24.5</v>
      </c>
      <c r="H58" s="2">
        <v>1.3</v>
      </c>
      <c r="I58" s="16">
        <v>9.5</v>
      </c>
      <c r="J58" s="9">
        <v>27.997199999999999</v>
      </c>
      <c r="K58" s="2">
        <v>23.0092</v>
      </c>
      <c r="L58" s="2">
        <v>82.008200000000002</v>
      </c>
      <c r="M58" s="2">
        <v>24.507349999999999</v>
      </c>
      <c r="N58" s="2">
        <v>1.3005199999999999</v>
      </c>
      <c r="O58" s="3">
        <v>9.5028500000000005</v>
      </c>
    </row>
    <row r="59" spans="1:15" x14ac:dyDescent="0.25">
      <c r="A59" s="30" t="s">
        <v>26</v>
      </c>
      <c r="B59" s="30" t="s">
        <v>29</v>
      </c>
      <c r="C59" s="1">
        <v>46049</v>
      </c>
      <c r="D59" s="7">
        <v>28</v>
      </c>
      <c r="E59" s="2">
        <v>23</v>
      </c>
      <c r="F59" s="2">
        <v>74</v>
      </c>
      <c r="G59" s="2">
        <v>21.6</v>
      </c>
      <c r="H59" s="2">
        <v>0</v>
      </c>
      <c r="I59" s="16">
        <v>10</v>
      </c>
      <c r="J59" s="9">
        <v>27.997199999999999</v>
      </c>
      <c r="K59" s="2">
        <v>22.9908</v>
      </c>
      <c r="L59" s="2">
        <v>74.007400000000004</v>
      </c>
      <c r="M59" s="2">
        <v>21.606480000000001</v>
      </c>
      <c r="N59" s="2">
        <v>0</v>
      </c>
      <c r="O59" s="3">
        <v>10</v>
      </c>
    </row>
    <row r="60" spans="1:15" x14ac:dyDescent="0.25">
      <c r="A60" s="30" t="s">
        <v>26</v>
      </c>
      <c r="B60" s="30" t="s">
        <v>29</v>
      </c>
      <c r="C60" s="1">
        <v>46050</v>
      </c>
      <c r="D60" s="7">
        <v>28</v>
      </c>
      <c r="E60" s="2">
        <v>22.6</v>
      </c>
      <c r="F60" s="2">
        <v>71</v>
      </c>
      <c r="G60" s="2">
        <v>18</v>
      </c>
      <c r="H60" s="2">
        <v>0</v>
      </c>
      <c r="I60" s="16">
        <v>10</v>
      </c>
      <c r="J60" s="9">
        <v>28.002800000000001</v>
      </c>
      <c r="K60" s="2">
        <v>22.609000000000002</v>
      </c>
      <c r="L60" s="2">
        <v>71.007099999999994</v>
      </c>
      <c r="M60" s="2">
        <v>18.005400000000002</v>
      </c>
      <c r="N60" s="2">
        <v>0</v>
      </c>
      <c r="O60" s="3">
        <v>10</v>
      </c>
    </row>
    <row r="61" spans="1:15" x14ac:dyDescent="0.25">
      <c r="A61" s="30" t="s">
        <v>26</v>
      </c>
      <c r="B61" s="30" t="s">
        <v>29</v>
      </c>
      <c r="C61" s="1">
        <v>46051</v>
      </c>
      <c r="D61" s="7">
        <v>28</v>
      </c>
      <c r="E61" s="2">
        <v>22.4</v>
      </c>
      <c r="F61" s="2">
        <v>73</v>
      </c>
      <c r="G61" s="2">
        <v>17.600000000000001</v>
      </c>
      <c r="H61" s="2">
        <v>0</v>
      </c>
      <c r="I61" s="16">
        <v>10</v>
      </c>
      <c r="J61" s="9">
        <v>28.002800000000001</v>
      </c>
      <c r="K61" s="2">
        <v>22.390999999999998</v>
      </c>
      <c r="L61" s="2">
        <v>73.007300000000001</v>
      </c>
      <c r="M61" s="2">
        <v>17.60528</v>
      </c>
      <c r="N61" s="2">
        <v>0</v>
      </c>
      <c r="O61" s="3">
        <v>10</v>
      </c>
    </row>
    <row r="62" spans="1:15" x14ac:dyDescent="0.25">
      <c r="A62" s="30" t="s">
        <v>26</v>
      </c>
      <c r="B62" s="30" t="s">
        <v>29</v>
      </c>
      <c r="C62" s="1">
        <v>46052</v>
      </c>
      <c r="D62" s="7">
        <v>28</v>
      </c>
      <c r="E62" s="2">
        <v>22.2</v>
      </c>
      <c r="F62" s="2">
        <v>71</v>
      </c>
      <c r="G62" s="2">
        <v>20.9</v>
      </c>
      <c r="H62" s="2">
        <v>0</v>
      </c>
      <c r="I62" s="16">
        <v>10</v>
      </c>
      <c r="J62" s="9">
        <v>28.002800000000001</v>
      </c>
      <c r="K62" s="2">
        <v>22.2089</v>
      </c>
      <c r="L62" s="2">
        <v>71.007099999999994</v>
      </c>
      <c r="M62" s="2">
        <v>20.906269999999999</v>
      </c>
      <c r="N62" s="2">
        <v>0</v>
      </c>
      <c r="O62" s="3">
        <v>10</v>
      </c>
    </row>
    <row r="63" spans="1:15" ht="15.75" thickBot="1" x14ac:dyDescent="0.3">
      <c r="A63" s="31" t="s">
        <v>26</v>
      </c>
      <c r="B63" s="31" t="s">
        <v>29</v>
      </c>
      <c r="C63" s="4">
        <v>46053</v>
      </c>
      <c r="D63" s="8">
        <v>28</v>
      </c>
      <c r="E63" s="5">
        <v>22</v>
      </c>
      <c r="F63" s="5">
        <v>71</v>
      </c>
      <c r="G63" s="5">
        <v>22.3</v>
      </c>
      <c r="H63" s="5">
        <v>0</v>
      </c>
      <c r="I63" s="17">
        <v>10</v>
      </c>
      <c r="J63" s="10">
        <v>28.002800000000001</v>
      </c>
      <c r="K63" s="5">
        <v>21.991199999999999</v>
      </c>
      <c r="L63" s="5">
        <v>71.007099999999994</v>
      </c>
      <c r="M63" s="5">
        <v>22.30669</v>
      </c>
      <c r="N63" s="5">
        <v>0</v>
      </c>
      <c r="O63" s="6">
        <v>10</v>
      </c>
    </row>
  </sheetData>
  <mergeCells count="14">
    <mergeCell ref="Q1:S1"/>
    <mergeCell ref="Q33:R33"/>
    <mergeCell ref="Q28:Q31"/>
    <mergeCell ref="Q2:S2"/>
    <mergeCell ref="Q3:Q6"/>
    <mergeCell ref="Q7:S7"/>
    <mergeCell ref="Q8:Q11"/>
    <mergeCell ref="Q12:S12"/>
    <mergeCell ref="Q13:Q16"/>
    <mergeCell ref="Q17:S17"/>
    <mergeCell ref="Q18:Q21"/>
    <mergeCell ref="Q22:S22"/>
    <mergeCell ref="Q23:Q26"/>
    <mergeCell ref="Q27:S2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Accuracy Assessment - Jan 2026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Dhiraj Kumar</dc:creator>
  <cp:lastModifiedBy>ML897</cp:lastModifiedBy>
  <dcterms:created xsi:type="dcterms:W3CDTF">2026-02-10T05:29:05Z</dcterms:created>
  <dcterms:modified xsi:type="dcterms:W3CDTF">2026-04-14T05:08:02Z</dcterms:modified>
</cp:coreProperties>
</file>